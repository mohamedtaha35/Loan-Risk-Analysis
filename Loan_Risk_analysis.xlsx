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Data" sheetId="2" r:id="rId1"/>
    <sheet name="Segment Analysis" sheetId="4" r:id="rId2"/>
    <sheet name="Data Visualization" sheetId="5" r:id="rId3"/>
  </sheets>
  <definedNames>
    <definedName name="ExternalData_1" localSheetId="0" hidden="1">Data!$A$1:$V$602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4" l="1"/>
  <c r="D105" i="4"/>
  <c r="C105" i="4"/>
  <c r="D90" i="4"/>
  <c r="C89" i="4"/>
  <c r="C90" i="4"/>
  <c r="I70" i="4" l="1"/>
  <c r="H70" i="4"/>
  <c r="J70" i="4" s="1"/>
  <c r="I69" i="4"/>
  <c r="H69" i="4"/>
  <c r="J69" i="4" s="1"/>
  <c r="I68" i="4"/>
  <c r="H68" i="4"/>
  <c r="J68" i="4" s="1"/>
  <c r="H49" i="4"/>
  <c r="H48" i="4"/>
  <c r="H47" i="4"/>
  <c r="I32" i="4"/>
  <c r="H32" i="4"/>
  <c r="J32" i="4" s="1"/>
  <c r="I31" i="4"/>
  <c r="H31" i="4"/>
  <c r="J31" i="4" s="1"/>
  <c r="I30" i="4"/>
  <c r="J30" i="4"/>
  <c r="J29" i="4"/>
  <c r="I29" i="4"/>
  <c r="H29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Z602" i="2"/>
  <c r="Y602" i="2"/>
  <c r="X602" i="2"/>
  <c r="W602" i="2"/>
  <c r="Z601" i="2"/>
  <c r="Y601" i="2"/>
  <c r="X601" i="2"/>
  <c r="W601" i="2"/>
  <c r="Z600" i="2"/>
  <c r="Y600" i="2"/>
  <c r="X600" i="2"/>
  <c r="W600" i="2"/>
  <c r="Z599" i="2"/>
  <c r="Y599" i="2"/>
  <c r="X599" i="2"/>
  <c r="W599" i="2"/>
  <c r="Z598" i="2"/>
  <c r="Y598" i="2"/>
  <c r="X598" i="2"/>
  <c r="W598" i="2"/>
  <c r="Z597" i="2"/>
  <c r="Y597" i="2"/>
  <c r="X597" i="2"/>
  <c r="W597" i="2"/>
  <c r="Z596" i="2"/>
  <c r="Y596" i="2"/>
  <c r="X596" i="2"/>
  <c r="W596" i="2"/>
  <c r="Z595" i="2"/>
  <c r="Y595" i="2"/>
  <c r="X595" i="2"/>
  <c r="W595" i="2"/>
  <c r="Z594" i="2"/>
  <c r="Y594" i="2"/>
  <c r="X594" i="2"/>
  <c r="W594" i="2"/>
  <c r="Z593" i="2"/>
  <c r="Y593" i="2"/>
  <c r="X593" i="2"/>
  <c r="W593" i="2"/>
  <c r="Z592" i="2"/>
  <c r="Y592" i="2"/>
  <c r="X592" i="2"/>
  <c r="W592" i="2"/>
  <c r="Z591" i="2"/>
  <c r="Y591" i="2"/>
  <c r="X591" i="2"/>
  <c r="W591" i="2"/>
  <c r="Z590" i="2"/>
  <c r="Y590" i="2"/>
  <c r="X590" i="2"/>
  <c r="W590" i="2"/>
  <c r="Z589" i="2"/>
  <c r="Y589" i="2"/>
  <c r="X589" i="2"/>
  <c r="W589" i="2"/>
  <c r="Z588" i="2"/>
  <c r="Y588" i="2"/>
  <c r="X588" i="2"/>
  <c r="W588" i="2"/>
  <c r="Z587" i="2"/>
  <c r="Y587" i="2"/>
  <c r="X587" i="2"/>
  <c r="W587" i="2"/>
  <c r="Z586" i="2"/>
  <c r="Y586" i="2"/>
  <c r="X586" i="2"/>
  <c r="W586" i="2"/>
  <c r="Z585" i="2"/>
  <c r="Y585" i="2"/>
  <c r="X585" i="2"/>
  <c r="W585" i="2"/>
  <c r="Z584" i="2"/>
  <c r="Y584" i="2"/>
  <c r="X584" i="2"/>
  <c r="W584" i="2"/>
  <c r="Z583" i="2"/>
  <c r="Y583" i="2"/>
  <c r="X583" i="2"/>
  <c r="W583" i="2"/>
  <c r="Z582" i="2"/>
  <c r="Y582" i="2"/>
  <c r="X582" i="2"/>
  <c r="W582" i="2"/>
  <c r="Z581" i="2"/>
  <c r="Y581" i="2"/>
  <c r="X581" i="2"/>
  <c r="W581" i="2"/>
  <c r="Z580" i="2"/>
  <c r="Y580" i="2"/>
  <c r="X580" i="2"/>
  <c r="W580" i="2"/>
  <c r="Z579" i="2"/>
  <c r="Y579" i="2"/>
  <c r="X579" i="2"/>
  <c r="W579" i="2"/>
  <c r="Z578" i="2"/>
  <c r="Y578" i="2"/>
  <c r="X578" i="2"/>
  <c r="W578" i="2"/>
  <c r="Z577" i="2"/>
  <c r="Y577" i="2"/>
  <c r="X577" i="2"/>
  <c r="W577" i="2"/>
  <c r="Z576" i="2"/>
  <c r="Y576" i="2"/>
  <c r="X576" i="2"/>
  <c r="W576" i="2"/>
  <c r="Z575" i="2"/>
  <c r="Y575" i="2"/>
  <c r="X575" i="2"/>
  <c r="W575" i="2"/>
  <c r="Z574" i="2"/>
  <c r="Y574" i="2"/>
  <c r="X574" i="2"/>
  <c r="W574" i="2"/>
  <c r="Z573" i="2"/>
  <c r="Y573" i="2"/>
  <c r="X573" i="2"/>
  <c r="W573" i="2"/>
  <c r="Z572" i="2"/>
  <c r="Y572" i="2"/>
  <c r="X572" i="2"/>
  <c r="W572" i="2"/>
  <c r="Z571" i="2"/>
  <c r="Y571" i="2"/>
  <c r="X571" i="2"/>
  <c r="W571" i="2"/>
  <c r="Z570" i="2"/>
  <c r="Y570" i="2"/>
  <c r="X570" i="2"/>
  <c r="W570" i="2"/>
  <c r="Z569" i="2"/>
  <c r="Y569" i="2"/>
  <c r="X569" i="2"/>
  <c r="W569" i="2"/>
  <c r="Z568" i="2"/>
  <c r="Y568" i="2"/>
  <c r="X568" i="2"/>
  <c r="W568" i="2"/>
  <c r="Z567" i="2"/>
  <c r="Y567" i="2"/>
  <c r="X567" i="2"/>
  <c r="W567" i="2"/>
  <c r="Z566" i="2"/>
  <c r="Y566" i="2"/>
  <c r="X566" i="2"/>
  <c r="W566" i="2"/>
  <c r="Z565" i="2"/>
  <c r="Y565" i="2"/>
  <c r="X565" i="2"/>
  <c r="W565" i="2"/>
  <c r="Z564" i="2"/>
  <c r="Y564" i="2"/>
  <c r="X564" i="2"/>
  <c r="W564" i="2"/>
  <c r="Z563" i="2"/>
  <c r="Y563" i="2"/>
  <c r="X563" i="2"/>
  <c r="W563" i="2"/>
  <c r="Z562" i="2"/>
  <c r="Y562" i="2"/>
  <c r="X562" i="2"/>
  <c r="W562" i="2"/>
  <c r="Z561" i="2"/>
  <c r="Y561" i="2"/>
  <c r="X561" i="2"/>
  <c r="W561" i="2"/>
  <c r="Z560" i="2"/>
  <c r="Y560" i="2"/>
  <c r="X560" i="2"/>
  <c r="W560" i="2"/>
  <c r="Z559" i="2"/>
  <c r="Y559" i="2"/>
  <c r="X559" i="2"/>
  <c r="W559" i="2"/>
  <c r="Z558" i="2"/>
  <c r="Y558" i="2"/>
  <c r="X558" i="2"/>
  <c r="W558" i="2"/>
  <c r="Z557" i="2"/>
  <c r="Y557" i="2"/>
  <c r="X557" i="2"/>
  <c r="W557" i="2"/>
  <c r="Z556" i="2"/>
  <c r="Y556" i="2"/>
  <c r="X556" i="2"/>
  <c r="W556" i="2"/>
  <c r="Z555" i="2"/>
  <c r="Y555" i="2"/>
  <c r="X555" i="2"/>
  <c r="W555" i="2"/>
  <c r="Z554" i="2"/>
  <c r="Y554" i="2"/>
  <c r="X554" i="2"/>
  <c r="W554" i="2"/>
  <c r="Z553" i="2"/>
  <c r="Y553" i="2"/>
  <c r="X553" i="2"/>
  <c r="W553" i="2"/>
  <c r="Z552" i="2"/>
  <c r="Y552" i="2"/>
  <c r="X552" i="2"/>
  <c r="W552" i="2"/>
  <c r="Z551" i="2"/>
  <c r="Y551" i="2"/>
  <c r="X551" i="2"/>
  <c r="W551" i="2"/>
  <c r="Z550" i="2"/>
  <c r="Y550" i="2"/>
  <c r="X550" i="2"/>
  <c r="W550" i="2"/>
  <c r="Z549" i="2"/>
  <c r="Y549" i="2"/>
  <c r="X549" i="2"/>
  <c r="W549" i="2"/>
  <c r="Z548" i="2"/>
  <c r="Y548" i="2"/>
  <c r="X548" i="2"/>
  <c r="W548" i="2"/>
  <c r="Z547" i="2"/>
  <c r="Y547" i="2"/>
  <c r="X547" i="2"/>
  <c r="W547" i="2"/>
  <c r="Z546" i="2"/>
  <c r="Y546" i="2"/>
  <c r="X546" i="2"/>
  <c r="W546" i="2"/>
  <c r="Z545" i="2"/>
  <c r="Y545" i="2"/>
  <c r="X545" i="2"/>
  <c r="W545" i="2"/>
  <c r="Z544" i="2"/>
  <c r="Y544" i="2"/>
  <c r="X544" i="2"/>
  <c r="W544" i="2"/>
  <c r="Z543" i="2"/>
  <c r="Y543" i="2"/>
  <c r="X543" i="2"/>
  <c r="W543" i="2"/>
  <c r="Z542" i="2"/>
  <c r="Y542" i="2"/>
  <c r="X542" i="2"/>
  <c r="W542" i="2"/>
  <c r="Z541" i="2"/>
  <c r="Y541" i="2"/>
  <c r="X541" i="2"/>
  <c r="W541" i="2"/>
  <c r="Z540" i="2"/>
  <c r="Y540" i="2"/>
  <c r="X540" i="2"/>
  <c r="W540" i="2"/>
  <c r="Z539" i="2"/>
  <c r="Y539" i="2"/>
  <c r="X539" i="2"/>
  <c r="W539" i="2"/>
  <c r="Z538" i="2"/>
  <c r="Y538" i="2"/>
  <c r="X538" i="2"/>
  <c r="W538" i="2"/>
  <c r="Z537" i="2"/>
  <c r="Y537" i="2"/>
  <c r="X537" i="2"/>
  <c r="W537" i="2"/>
  <c r="Z536" i="2"/>
  <c r="Y536" i="2"/>
  <c r="X536" i="2"/>
  <c r="W536" i="2"/>
  <c r="Z535" i="2"/>
  <c r="Y535" i="2"/>
  <c r="X535" i="2"/>
  <c r="W535" i="2"/>
  <c r="Z534" i="2"/>
  <c r="Y534" i="2"/>
  <c r="X534" i="2"/>
  <c r="W534" i="2"/>
  <c r="Z533" i="2"/>
  <c r="Y533" i="2"/>
  <c r="X533" i="2"/>
  <c r="W533" i="2"/>
  <c r="Z532" i="2"/>
  <c r="Y532" i="2"/>
  <c r="X532" i="2"/>
  <c r="W532" i="2"/>
  <c r="Z531" i="2"/>
  <c r="Y531" i="2"/>
  <c r="X531" i="2"/>
  <c r="W531" i="2"/>
  <c r="Z530" i="2"/>
  <c r="Y530" i="2"/>
  <c r="X530" i="2"/>
  <c r="W530" i="2"/>
  <c r="Z529" i="2"/>
  <c r="Y529" i="2"/>
  <c r="X529" i="2"/>
  <c r="W529" i="2"/>
  <c r="Z528" i="2"/>
  <c r="Y528" i="2"/>
  <c r="X528" i="2"/>
  <c r="W528" i="2"/>
  <c r="Z527" i="2"/>
  <c r="Y527" i="2"/>
  <c r="X527" i="2"/>
  <c r="W527" i="2"/>
  <c r="Z526" i="2"/>
  <c r="Y526" i="2"/>
  <c r="X526" i="2"/>
  <c r="W526" i="2"/>
  <c r="Z525" i="2"/>
  <c r="Y525" i="2"/>
  <c r="X525" i="2"/>
  <c r="W525" i="2"/>
  <c r="Z524" i="2"/>
  <c r="Y524" i="2"/>
  <c r="X524" i="2"/>
  <c r="W524" i="2"/>
  <c r="Z523" i="2"/>
  <c r="Y523" i="2"/>
  <c r="X523" i="2"/>
  <c r="W523" i="2"/>
  <c r="Z522" i="2"/>
  <c r="Y522" i="2"/>
  <c r="X522" i="2"/>
  <c r="W522" i="2"/>
  <c r="Z521" i="2"/>
  <c r="Y521" i="2"/>
  <c r="X521" i="2"/>
  <c r="W521" i="2"/>
  <c r="Z520" i="2"/>
  <c r="Y520" i="2"/>
  <c r="X520" i="2"/>
  <c r="W520" i="2"/>
  <c r="Z519" i="2"/>
  <c r="Y519" i="2"/>
  <c r="X519" i="2"/>
  <c r="W519" i="2"/>
  <c r="Z518" i="2"/>
  <c r="Y518" i="2"/>
  <c r="X518" i="2"/>
  <c r="W518" i="2"/>
  <c r="Z517" i="2"/>
  <c r="Y517" i="2"/>
  <c r="X517" i="2"/>
  <c r="W517" i="2"/>
  <c r="Z516" i="2"/>
  <c r="Y516" i="2"/>
  <c r="X516" i="2"/>
  <c r="W516" i="2"/>
  <c r="Z515" i="2"/>
  <c r="Y515" i="2"/>
  <c r="X515" i="2"/>
  <c r="W515" i="2"/>
  <c r="Z514" i="2"/>
  <c r="Y514" i="2"/>
  <c r="X514" i="2"/>
  <c r="W514" i="2"/>
  <c r="Z513" i="2"/>
  <c r="Y513" i="2"/>
  <c r="X513" i="2"/>
  <c r="W513" i="2"/>
  <c r="Z512" i="2"/>
  <c r="Y512" i="2"/>
  <c r="X512" i="2"/>
  <c r="W512" i="2"/>
  <c r="Z511" i="2"/>
  <c r="Y511" i="2"/>
  <c r="X511" i="2"/>
  <c r="W511" i="2"/>
  <c r="Z510" i="2"/>
  <c r="Y510" i="2"/>
  <c r="X510" i="2"/>
  <c r="W510" i="2"/>
  <c r="Z509" i="2"/>
  <c r="Y509" i="2"/>
  <c r="X509" i="2"/>
  <c r="W509" i="2"/>
  <c r="Z508" i="2"/>
  <c r="Y508" i="2"/>
  <c r="X508" i="2"/>
  <c r="W508" i="2"/>
  <c r="Z507" i="2"/>
  <c r="Y507" i="2"/>
  <c r="X507" i="2"/>
  <c r="W507" i="2"/>
  <c r="Z506" i="2"/>
  <c r="Y506" i="2"/>
  <c r="X506" i="2"/>
  <c r="W506" i="2"/>
  <c r="Z505" i="2"/>
  <c r="Y505" i="2"/>
  <c r="X505" i="2"/>
  <c r="W505" i="2"/>
  <c r="Z504" i="2"/>
  <c r="Y504" i="2"/>
  <c r="X504" i="2"/>
  <c r="W504" i="2"/>
  <c r="Z503" i="2"/>
  <c r="Y503" i="2"/>
  <c r="X503" i="2"/>
  <c r="W503" i="2"/>
  <c r="Z502" i="2"/>
  <c r="Y502" i="2"/>
  <c r="X502" i="2"/>
  <c r="W502" i="2"/>
  <c r="Z501" i="2"/>
  <c r="Y501" i="2"/>
  <c r="X501" i="2"/>
  <c r="W501" i="2"/>
  <c r="Z500" i="2"/>
  <c r="Y500" i="2"/>
  <c r="X500" i="2"/>
  <c r="W500" i="2"/>
  <c r="Z499" i="2"/>
  <c r="Y499" i="2"/>
  <c r="X499" i="2"/>
  <c r="W499" i="2"/>
  <c r="Z498" i="2"/>
  <c r="Y498" i="2"/>
  <c r="X498" i="2"/>
  <c r="W498" i="2"/>
  <c r="Z497" i="2"/>
  <c r="Y497" i="2"/>
  <c r="X497" i="2"/>
  <c r="W497" i="2"/>
  <c r="Z496" i="2"/>
  <c r="Y496" i="2"/>
  <c r="X496" i="2"/>
  <c r="W496" i="2"/>
  <c r="Z495" i="2"/>
  <c r="Y495" i="2"/>
  <c r="X495" i="2"/>
  <c r="W495" i="2"/>
  <c r="Z494" i="2"/>
  <c r="Y494" i="2"/>
  <c r="X494" i="2"/>
  <c r="W494" i="2"/>
  <c r="Z493" i="2"/>
  <c r="Y493" i="2"/>
  <c r="X493" i="2"/>
  <c r="W493" i="2"/>
  <c r="Z492" i="2"/>
  <c r="Y492" i="2"/>
  <c r="X492" i="2"/>
  <c r="W492" i="2"/>
  <c r="Z491" i="2"/>
  <c r="Y491" i="2"/>
  <c r="X491" i="2"/>
  <c r="W491" i="2"/>
  <c r="Z490" i="2"/>
  <c r="Y490" i="2"/>
  <c r="X490" i="2"/>
  <c r="W490" i="2"/>
  <c r="Z489" i="2"/>
  <c r="Y489" i="2"/>
  <c r="X489" i="2"/>
  <c r="W489" i="2"/>
  <c r="Z488" i="2"/>
  <c r="Y488" i="2"/>
  <c r="X488" i="2"/>
  <c r="W488" i="2"/>
  <c r="Z487" i="2"/>
  <c r="Y487" i="2"/>
  <c r="X487" i="2"/>
  <c r="W487" i="2"/>
  <c r="Z486" i="2"/>
  <c r="Y486" i="2"/>
  <c r="X486" i="2"/>
  <c r="W486" i="2"/>
  <c r="Z485" i="2"/>
  <c r="Y485" i="2"/>
  <c r="X485" i="2"/>
  <c r="W485" i="2"/>
  <c r="Z484" i="2"/>
  <c r="Y484" i="2"/>
  <c r="X484" i="2"/>
  <c r="W484" i="2"/>
  <c r="Z483" i="2"/>
  <c r="Y483" i="2"/>
  <c r="X483" i="2"/>
  <c r="W483" i="2"/>
  <c r="Z482" i="2"/>
  <c r="Y482" i="2"/>
  <c r="X482" i="2"/>
  <c r="W482" i="2"/>
  <c r="Z481" i="2"/>
  <c r="Y481" i="2"/>
  <c r="X481" i="2"/>
  <c r="W481" i="2"/>
  <c r="Z480" i="2"/>
  <c r="Y480" i="2"/>
  <c r="X480" i="2"/>
  <c r="W480" i="2"/>
  <c r="Z479" i="2"/>
  <c r="Y479" i="2"/>
  <c r="X479" i="2"/>
  <c r="W479" i="2"/>
  <c r="Z478" i="2"/>
  <c r="Y478" i="2"/>
  <c r="X478" i="2"/>
  <c r="W478" i="2"/>
  <c r="Z477" i="2"/>
  <c r="Y477" i="2"/>
  <c r="X477" i="2"/>
  <c r="W477" i="2"/>
  <c r="Z476" i="2"/>
  <c r="Y476" i="2"/>
  <c r="X476" i="2"/>
  <c r="W476" i="2"/>
  <c r="Z475" i="2"/>
  <c r="Y475" i="2"/>
  <c r="X475" i="2"/>
  <c r="W475" i="2"/>
  <c r="Z474" i="2"/>
  <c r="Y474" i="2"/>
  <c r="X474" i="2"/>
  <c r="W474" i="2"/>
  <c r="Z473" i="2"/>
  <c r="Y473" i="2"/>
  <c r="X473" i="2"/>
  <c r="W473" i="2"/>
  <c r="Z472" i="2"/>
  <c r="Y472" i="2"/>
  <c r="X472" i="2"/>
  <c r="W472" i="2"/>
  <c r="Z471" i="2"/>
  <c r="Y471" i="2"/>
  <c r="X471" i="2"/>
  <c r="W471" i="2"/>
  <c r="Z470" i="2"/>
  <c r="Y470" i="2"/>
  <c r="X470" i="2"/>
  <c r="W470" i="2"/>
  <c r="Z469" i="2"/>
  <c r="Y469" i="2"/>
  <c r="X469" i="2"/>
  <c r="W469" i="2"/>
  <c r="Z468" i="2"/>
  <c r="Y468" i="2"/>
  <c r="X468" i="2"/>
  <c r="W468" i="2"/>
  <c r="Z467" i="2"/>
  <c r="Y467" i="2"/>
  <c r="X467" i="2"/>
  <c r="W467" i="2"/>
  <c r="Z466" i="2"/>
  <c r="Y466" i="2"/>
  <c r="X466" i="2"/>
  <c r="W466" i="2"/>
  <c r="Z465" i="2"/>
  <c r="Y465" i="2"/>
  <c r="X465" i="2"/>
  <c r="W465" i="2"/>
  <c r="Z464" i="2"/>
  <c r="Y464" i="2"/>
  <c r="X464" i="2"/>
  <c r="W464" i="2"/>
  <c r="Z463" i="2"/>
  <c r="Y463" i="2"/>
  <c r="X463" i="2"/>
  <c r="W463" i="2"/>
  <c r="Z462" i="2"/>
  <c r="Y462" i="2"/>
  <c r="X462" i="2"/>
  <c r="W462" i="2"/>
  <c r="Z461" i="2"/>
  <c r="Y461" i="2"/>
  <c r="X461" i="2"/>
  <c r="W461" i="2"/>
  <c r="Z460" i="2"/>
  <c r="Y460" i="2"/>
  <c r="X460" i="2"/>
  <c r="W460" i="2"/>
  <c r="Z459" i="2"/>
  <c r="Y459" i="2"/>
  <c r="X459" i="2"/>
  <c r="W459" i="2"/>
  <c r="Z458" i="2"/>
  <c r="Y458" i="2"/>
  <c r="X458" i="2"/>
  <c r="W458" i="2"/>
  <c r="Z457" i="2"/>
  <c r="Y457" i="2"/>
  <c r="X457" i="2"/>
  <c r="W457" i="2"/>
  <c r="Z456" i="2"/>
  <c r="Y456" i="2"/>
  <c r="X456" i="2"/>
  <c r="W456" i="2"/>
  <c r="Z455" i="2"/>
  <c r="Y455" i="2"/>
  <c r="X455" i="2"/>
  <c r="W455" i="2"/>
  <c r="Z454" i="2"/>
  <c r="Y454" i="2"/>
  <c r="X454" i="2"/>
  <c r="W454" i="2"/>
  <c r="Z453" i="2"/>
  <c r="Y453" i="2"/>
  <c r="X453" i="2"/>
  <c r="W453" i="2"/>
  <c r="Z452" i="2"/>
  <c r="Y452" i="2"/>
  <c r="X452" i="2"/>
  <c r="W452" i="2"/>
  <c r="Z451" i="2"/>
  <c r="Y451" i="2"/>
  <c r="X451" i="2"/>
  <c r="W451" i="2"/>
  <c r="Z450" i="2"/>
  <c r="Y450" i="2"/>
  <c r="X450" i="2"/>
  <c r="W450" i="2"/>
  <c r="Z449" i="2"/>
  <c r="Y449" i="2"/>
  <c r="X449" i="2"/>
  <c r="W449" i="2"/>
  <c r="Z448" i="2"/>
  <c r="Y448" i="2"/>
  <c r="X448" i="2"/>
  <c r="W448" i="2"/>
  <c r="Z447" i="2"/>
  <c r="Y447" i="2"/>
  <c r="X447" i="2"/>
  <c r="W447" i="2"/>
  <c r="Z446" i="2"/>
  <c r="Y446" i="2"/>
  <c r="X446" i="2"/>
  <c r="W446" i="2"/>
  <c r="Z445" i="2"/>
  <c r="Y445" i="2"/>
  <c r="X445" i="2"/>
  <c r="W445" i="2"/>
  <c r="Z444" i="2"/>
  <c r="Y444" i="2"/>
  <c r="X444" i="2"/>
  <c r="W444" i="2"/>
  <c r="Z443" i="2"/>
  <c r="Y443" i="2"/>
  <c r="X443" i="2"/>
  <c r="W443" i="2"/>
  <c r="Z442" i="2"/>
  <c r="Y442" i="2"/>
  <c r="X442" i="2"/>
  <c r="W442" i="2"/>
  <c r="Z441" i="2"/>
  <c r="Y441" i="2"/>
  <c r="X441" i="2"/>
  <c r="W441" i="2"/>
  <c r="Z440" i="2"/>
  <c r="Y440" i="2"/>
  <c r="X440" i="2"/>
  <c r="W440" i="2"/>
  <c r="Z439" i="2"/>
  <c r="Y439" i="2"/>
  <c r="X439" i="2"/>
  <c r="W439" i="2"/>
  <c r="Z438" i="2"/>
  <c r="Y438" i="2"/>
  <c r="X438" i="2"/>
  <c r="W438" i="2"/>
  <c r="Z437" i="2"/>
  <c r="Y437" i="2"/>
  <c r="X437" i="2"/>
  <c r="W437" i="2"/>
  <c r="Z436" i="2"/>
  <c r="Y436" i="2"/>
  <c r="X436" i="2"/>
  <c r="W436" i="2"/>
  <c r="Z435" i="2"/>
  <c r="Y435" i="2"/>
  <c r="X435" i="2"/>
  <c r="W435" i="2"/>
  <c r="Z434" i="2"/>
  <c r="Y434" i="2"/>
  <c r="X434" i="2"/>
  <c r="W434" i="2"/>
  <c r="Z433" i="2"/>
  <c r="Y433" i="2"/>
  <c r="X433" i="2"/>
  <c r="W433" i="2"/>
  <c r="Z432" i="2"/>
  <c r="Y432" i="2"/>
  <c r="X432" i="2"/>
  <c r="W432" i="2"/>
  <c r="Z431" i="2"/>
  <c r="Y431" i="2"/>
  <c r="X431" i="2"/>
  <c r="W431" i="2"/>
  <c r="Z430" i="2"/>
  <c r="Y430" i="2"/>
  <c r="X430" i="2"/>
  <c r="W430" i="2"/>
  <c r="Z429" i="2"/>
  <c r="Y429" i="2"/>
  <c r="X429" i="2"/>
  <c r="W429" i="2"/>
  <c r="Z428" i="2"/>
  <c r="Y428" i="2"/>
  <c r="X428" i="2"/>
  <c r="W428" i="2"/>
  <c r="Z427" i="2"/>
  <c r="Y427" i="2"/>
  <c r="X427" i="2"/>
  <c r="W427" i="2"/>
  <c r="Z426" i="2"/>
  <c r="Y426" i="2"/>
  <c r="X426" i="2"/>
  <c r="W426" i="2"/>
  <c r="Z425" i="2"/>
  <c r="Y425" i="2"/>
  <c r="X425" i="2"/>
  <c r="W425" i="2"/>
  <c r="Z424" i="2"/>
  <c r="Y424" i="2"/>
  <c r="X424" i="2"/>
  <c r="W424" i="2"/>
  <c r="Z423" i="2"/>
  <c r="Y423" i="2"/>
  <c r="X423" i="2"/>
  <c r="W423" i="2"/>
  <c r="Z422" i="2"/>
  <c r="Y422" i="2"/>
  <c r="X422" i="2"/>
  <c r="W422" i="2"/>
  <c r="Z421" i="2"/>
  <c r="Y421" i="2"/>
  <c r="X421" i="2"/>
  <c r="W421" i="2"/>
  <c r="Z420" i="2"/>
  <c r="Y420" i="2"/>
  <c r="X420" i="2"/>
  <c r="W420" i="2"/>
  <c r="Z419" i="2"/>
  <c r="Y419" i="2"/>
  <c r="X419" i="2"/>
  <c r="W419" i="2"/>
  <c r="Z418" i="2"/>
  <c r="Y418" i="2"/>
  <c r="X418" i="2"/>
  <c r="W418" i="2"/>
  <c r="Z417" i="2"/>
  <c r="Y417" i="2"/>
  <c r="X417" i="2"/>
  <c r="W417" i="2"/>
  <c r="Z416" i="2"/>
  <c r="Y416" i="2"/>
  <c r="X416" i="2"/>
  <c r="W416" i="2"/>
  <c r="Z415" i="2"/>
  <c r="Y415" i="2"/>
  <c r="X415" i="2"/>
  <c r="W415" i="2"/>
  <c r="Z414" i="2"/>
  <c r="Y414" i="2"/>
  <c r="X414" i="2"/>
  <c r="W414" i="2"/>
  <c r="Z413" i="2"/>
  <c r="Y413" i="2"/>
  <c r="X413" i="2"/>
  <c r="W413" i="2"/>
  <c r="Z412" i="2"/>
  <c r="Y412" i="2"/>
  <c r="X412" i="2"/>
  <c r="W412" i="2"/>
  <c r="Z411" i="2"/>
  <c r="Y411" i="2"/>
  <c r="X411" i="2"/>
  <c r="W411" i="2"/>
  <c r="Z410" i="2"/>
  <c r="Y410" i="2"/>
  <c r="X410" i="2"/>
  <c r="W410" i="2"/>
  <c r="Z409" i="2"/>
  <c r="Y409" i="2"/>
  <c r="X409" i="2"/>
  <c r="W409" i="2"/>
  <c r="Z408" i="2"/>
  <c r="Y408" i="2"/>
  <c r="X408" i="2"/>
  <c r="W408" i="2"/>
  <c r="Z407" i="2"/>
  <c r="Y407" i="2"/>
  <c r="X407" i="2"/>
  <c r="W407" i="2"/>
  <c r="Z406" i="2"/>
  <c r="Y406" i="2"/>
  <c r="X406" i="2"/>
  <c r="W406" i="2"/>
  <c r="Z405" i="2"/>
  <c r="Y405" i="2"/>
  <c r="X405" i="2"/>
  <c r="W405" i="2"/>
  <c r="Z404" i="2"/>
  <c r="Y404" i="2"/>
  <c r="X404" i="2"/>
  <c r="W404" i="2"/>
  <c r="Z403" i="2"/>
  <c r="Y403" i="2"/>
  <c r="X403" i="2"/>
  <c r="W403" i="2"/>
  <c r="Z402" i="2"/>
  <c r="Y402" i="2"/>
  <c r="X402" i="2"/>
  <c r="W402" i="2"/>
  <c r="Z401" i="2"/>
  <c r="Y401" i="2"/>
  <c r="X401" i="2"/>
  <c r="W401" i="2"/>
  <c r="Z400" i="2"/>
  <c r="Y400" i="2"/>
  <c r="X400" i="2"/>
  <c r="W400" i="2"/>
  <c r="Z399" i="2"/>
  <c r="Y399" i="2"/>
  <c r="X399" i="2"/>
  <c r="W399" i="2"/>
  <c r="Z398" i="2"/>
  <c r="Y398" i="2"/>
  <c r="X398" i="2"/>
  <c r="W398" i="2"/>
  <c r="Z397" i="2"/>
  <c r="Y397" i="2"/>
  <c r="X397" i="2"/>
  <c r="W397" i="2"/>
  <c r="Z396" i="2"/>
  <c r="Y396" i="2"/>
  <c r="X396" i="2"/>
  <c r="W396" i="2"/>
  <c r="Z395" i="2"/>
  <c r="Y395" i="2"/>
  <c r="X395" i="2"/>
  <c r="W395" i="2"/>
  <c r="Z394" i="2"/>
  <c r="Y394" i="2"/>
  <c r="X394" i="2"/>
  <c r="W394" i="2"/>
  <c r="Z393" i="2"/>
  <c r="Y393" i="2"/>
  <c r="X393" i="2"/>
  <c r="W393" i="2"/>
  <c r="Z392" i="2"/>
  <c r="Y392" i="2"/>
  <c r="X392" i="2"/>
  <c r="W392" i="2"/>
  <c r="Z391" i="2"/>
  <c r="Y391" i="2"/>
  <c r="X391" i="2"/>
  <c r="W391" i="2"/>
  <c r="Z390" i="2"/>
  <c r="Y390" i="2"/>
  <c r="X390" i="2"/>
  <c r="W390" i="2"/>
  <c r="Z389" i="2"/>
  <c r="Y389" i="2"/>
  <c r="X389" i="2"/>
  <c r="W389" i="2"/>
  <c r="Z388" i="2"/>
  <c r="Y388" i="2"/>
  <c r="X388" i="2"/>
  <c r="W388" i="2"/>
  <c r="Z387" i="2"/>
  <c r="Y387" i="2"/>
  <c r="X387" i="2"/>
  <c r="W387" i="2"/>
  <c r="Z386" i="2"/>
  <c r="Y386" i="2"/>
  <c r="X386" i="2"/>
  <c r="W386" i="2"/>
  <c r="Z385" i="2"/>
  <c r="Y385" i="2"/>
  <c r="X385" i="2"/>
  <c r="W385" i="2"/>
  <c r="Z384" i="2"/>
  <c r="Y384" i="2"/>
  <c r="X384" i="2"/>
  <c r="W384" i="2"/>
  <c r="Z383" i="2"/>
  <c r="Y383" i="2"/>
  <c r="X383" i="2"/>
  <c r="W383" i="2"/>
  <c r="Z382" i="2"/>
  <c r="Y382" i="2"/>
  <c r="X382" i="2"/>
  <c r="W382" i="2"/>
  <c r="Z381" i="2"/>
  <c r="Y381" i="2"/>
  <c r="X381" i="2"/>
  <c r="W381" i="2"/>
  <c r="Z380" i="2"/>
  <c r="Y380" i="2"/>
  <c r="X380" i="2"/>
  <c r="W380" i="2"/>
  <c r="Z379" i="2"/>
  <c r="Y379" i="2"/>
  <c r="X379" i="2"/>
  <c r="W379" i="2"/>
  <c r="Z378" i="2"/>
  <c r="Y378" i="2"/>
  <c r="X378" i="2"/>
  <c r="W378" i="2"/>
  <c r="Z377" i="2"/>
  <c r="Y377" i="2"/>
  <c r="X377" i="2"/>
  <c r="W377" i="2"/>
  <c r="Z376" i="2"/>
  <c r="Y376" i="2"/>
  <c r="X376" i="2"/>
  <c r="W376" i="2"/>
  <c r="Z375" i="2"/>
  <c r="Y375" i="2"/>
  <c r="X375" i="2"/>
  <c r="W375" i="2"/>
  <c r="Z374" i="2"/>
  <c r="Y374" i="2"/>
  <c r="X374" i="2"/>
  <c r="W374" i="2"/>
  <c r="Z373" i="2"/>
  <c r="Y373" i="2"/>
  <c r="X373" i="2"/>
  <c r="W373" i="2"/>
  <c r="Z372" i="2"/>
  <c r="Y372" i="2"/>
  <c r="X372" i="2"/>
  <c r="W372" i="2"/>
  <c r="Z371" i="2"/>
  <c r="Y371" i="2"/>
  <c r="X371" i="2"/>
  <c r="W371" i="2"/>
  <c r="Z370" i="2"/>
  <c r="Y370" i="2"/>
  <c r="X370" i="2"/>
  <c r="W370" i="2"/>
  <c r="Z369" i="2"/>
  <c r="Y369" i="2"/>
  <c r="X369" i="2"/>
  <c r="W369" i="2"/>
  <c r="Z368" i="2"/>
  <c r="Y368" i="2"/>
  <c r="X368" i="2"/>
  <c r="W368" i="2"/>
  <c r="Z367" i="2"/>
  <c r="Y367" i="2"/>
  <c r="X367" i="2"/>
  <c r="W367" i="2"/>
  <c r="Z366" i="2"/>
  <c r="Y366" i="2"/>
  <c r="X366" i="2"/>
  <c r="W366" i="2"/>
  <c r="Z365" i="2"/>
  <c r="Y365" i="2"/>
  <c r="X365" i="2"/>
  <c r="W365" i="2"/>
  <c r="Z364" i="2"/>
  <c r="Y364" i="2"/>
  <c r="X364" i="2"/>
  <c r="W364" i="2"/>
  <c r="Z363" i="2"/>
  <c r="Y363" i="2"/>
  <c r="X363" i="2"/>
  <c r="W363" i="2"/>
  <c r="Z362" i="2"/>
  <c r="Y362" i="2"/>
  <c r="X362" i="2"/>
  <c r="W362" i="2"/>
  <c r="Z361" i="2"/>
  <c r="Y361" i="2"/>
  <c r="X361" i="2"/>
  <c r="W361" i="2"/>
  <c r="Z360" i="2"/>
  <c r="Y360" i="2"/>
  <c r="X360" i="2"/>
  <c r="W360" i="2"/>
  <c r="Z359" i="2"/>
  <c r="Y359" i="2"/>
  <c r="X359" i="2"/>
  <c r="W359" i="2"/>
  <c r="Z358" i="2"/>
  <c r="Y358" i="2"/>
  <c r="X358" i="2"/>
  <c r="W358" i="2"/>
  <c r="Z357" i="2"/>
  <c r="Y357" i="2"/>
  <c r="X357" i="2"/>
  <c r="W357" i="2"/>
  <c r="Z356" i="2"/>
  <c r="Y356" i="2"/>
  <c r="X356" i="2"/>
  <c r="W356" i="2"/>
  <c r="Z355" i="2"/>
  <c r="Y355" i="2"/>
  <c r="X355" i="2"/>
  <c r="W355" i="2"/>
  <c r="Z354" i="2"/>
  <c r="Y354" i="2"/>
  <c r="X354" i="2"/>
  <c r="W354" i="2"/>
  <c r="Z353" i="2"/>
  <c r="Y353" i="2"/>
  <c r="X353" i="2"/>
  <c r="W353" i="2"/>
  <c r="Z352" i="2"/>
  <c r="Y352" i="2"/>
  <c r="X352" i="2"/>
  <c r="W352" i="2"/>
  <c r="Z351" i="2"/>
  <c r="Y351" i="2"/>
  <c r="X351" i="2"/>
  <c r="W351" i="2"/>
  <c r="Z350" i="2"/>
  <c r="Y350" i="2"/>
  <c r="X350" i="2"/>
  <c r="W350" i="2"/>
  <c r="Z349" i="2"/>
  <c r="Y349" i="2"/>
  <c r="X349" i="2"/>
  <c r="W349" i="2"/>
  <c r="Z348" i="2"/>
  <c r="Y348" i="2"/>
  <c r="X348" i="2"/>
  <c r="W348" i="2"/>
  <c r="Z347" i="2"/>
  <c r="Y347" i="2"/>
  <c r="X347" i="2"/>
  <c r="W347" i="2"/>
  <c r="Z346" i="2"/>
  <c r="Y346" i="2"/>
  <c r="X346" i="2"/>
  <c r="W346" i="2"/>
  <c r="Z345" i="2"/>
  <c r="Y345" i="2"/>
  <c r="X345" i="2"/>
  <c r="W345" i="2"/>
  <c r="Z344" i="2"/>
  <c r="Y344" i="2"/>
  <c r="X344" i="2"/>
  <c r="W344" i="2"/>
  <c r="Z343" i="2"/>
  <c r="Y343" i="2"/>
  <c r="X343" i="2"/>
  <c r="W343" i="2"/>
  <c r="Z342" i="2"/>
  <c r="Y342" i="2"/>
  <c r="X342" i="2"/>
  <c r="W342" i="2"/>
  <c r="Z341" i="2"/>
  <c r="Y341" i="2"/>
  <c r="X341" i="2"/>
  <c r="W341" i="2"/>
  <c r="Z340" i="2"/>
  <c r="Y340" i="2"/>
  <c r="X340" i="2"/>
  <c r="W340" i="2"/>
  <c r="Z339" i="2"/>
  <c r="Y339" i="2"/>
  <c r="X339" i="2"/>
  <c r="W339" i="2"/>
  <c r="Z338" i="2"/>
  <c r="Y338" i="2"/>
  <c r="X338" i="2"/>
  <c r="W338" i="2"/>
  <c r="Z337" i="2"/>
  <c r="Y337" i="2"/>
  <c r="X337" i="2"/>
  <c r="W337" i="2"/>
  <c r="Z336" i="2"/>
  <c r="Y336" i="2"/>
  <c r="X336" i="2"/>
  <c r="W336" i="2"/>
  <c r="Z335" i="2"/>
  <c r="Y335" i="2"/>
  <c r="X335" i="2"/>
  <c r="W335" i="2"/>
  <c r="Z334" i="2"/>
  <c r="Y334" i="2"/>
  <c r="X334" i="2"/>
  <c r="W334" i="2"/>
  <c r="Z333" i="2"/>
  <c r="Y333" i="2"/>
  <c r="X333" i="2"/>
  <c r="W333" i="2"/>
  <c r="Z332" i="2"/>
  <c r="Y332" i="2"/>
  <c r="X332" i="2"/>
  <c r="W332" i="2"/>
  <c r="Z331" i="2"/>
  <c r="Y331" i="2"/>
  <c r="X331" i="2"/>
  <c r="W331" i="2"/>
  <c r="Z330" i="2"/>
  <c r="Y330" i="2"/>
  <c r="X330" i="2"/>
  <c r="W330" i="2"/>
  <c r="Z329" i="2"/>
  <c r="Y329" i="2"/>
  <c r="X329" i="2"/>
  <c r="W329" i="2"/>
  <c r="Z328" i="2"/>
  <c r="Y328" i="2"/>
  <c r="X328" i="2"/>
  <c r="W328" i="2"/>
  <c r="Z327" i="2"/>
  <c r="Y327" i="2"/>
  <c r="X327" i="2"/>
  <c r="W327" i="2"/>
  <c r="Z326" i="2"/>
  <c r="Y326" i="2"/>
  <c r="X326" i="2"/>
  <c r="W326" i="2"/>
  <c r="Z325" i="2"/>
  <c r="Y325" i="2"/>
  <c r="X325" i="2"/>
  <c r="W325" i="2"/>
  <c r="Z324" i="2"/>
  <c r="Y324" i="2"/>
  <c r="X324" i="2"/>
  <c r="W324" i="2"/>
  <c r="Z323" i="2"/>
  <c r="Y323" i="2"/>
  <c r="X323" i="2"/>
  <c r="W323" i="2"/>
  <c r="Z322" i="2"/>
  <c r="Y322" i="2"/>
  <c r="X322" i="2"/>
  <c r="W322" i="2"/>
  <c r="Z321" i="2"/>
  <c r="Y321" i="2"/>
  <c r="X321" i="2"/>
  <c r="W321" i="2"/>
  <c r="Z320" i="2"/>
  <c r="Y320" i="2"/>
  <c r="X320" i="2"/>
  <c r="W320" i="2"/>
  <c r="Z319" i="2"/>
  <c r="Y319" i="2"/>
  <c r="X319" i="2"/>
  <c r="W319" i="2"/>
  <c r="Z318" i="2"/>
  <c r="Y318" i="2"/>
  <c r="X318" i="2"/>
  <c r="W318" i="2"/>
  <c r="Z317" i="2"/>
  <c r="Y317" i="2"/>
  <c r="X317" i="2"/>
  <c r="W317" i="2"/>
  <c r="Z316" i="2"/>
  <c r="Y316" i="2"/>
  <c r="X316" i="2"/>
  <c r="W316" i="2"/>
  <c r="Z315" i="2"/>
  <c r="Y315" i="2"/>
  <c r="X315" i="2"/>
  <c r="W315" i="2"/>
  <c r="Z314" i="2"/>
  <c r="Y314" i="2"/>
  <c r="X314" i="2"/>
  <c r="W314" i="2"/>
  <c r="Z313" i="2"/>
  <c r="Y313" i="2"/>
  <c r="X313" i="2"/>
  <c r="W313" i="2"/>
  <c r="Z312" i="2"/>
  <c r="Y312" i="2"/>
  <c r="X312" i="2"/>
  <c r="W312" i="2"/>
  <c r="Z311" i="2"/>
  <c r="Y311" i="2"/>
  <c r="X311" i="2"/>
  <c r="W311" i="2"/>
  <c r="Z310" i="2"/>
  <c r="Y310" i="2"/>
  <c r="X310" i="2"/>
  <c r="W310" i="2"/>
  <c r="Z309" i="2"/>
  <c r="Y309" i="2"/>
  <c r="X309" i="2"/>
  <c r="W309" i="2"/>
  <c r="Z308" i="2"/>
  <c r="Y308" i="2"/>
  <c r="X308" i="2"/>
  <c r="W308" i="2"/>
  <c r="Z307" i="2"/>
  <c r="Y307" i="2"/>
  <c r="X307" i="2"/>
  <c r="W307" i="2"/>
  <c r="Z306" i="2"/>
  <c r="Y306" i="2"/>
  <c r="X306" i="2"/>
  <c r="W306" i="2"/>
  <c r="Z305" i="2"/>
  <c r="Y305" i="2"/>
  <c r="X305" i="2"/>
  <c r="W305" i="2"/>
  <c r="Z304" i="2"/>
  <c r="Y304" i="2"/>
  <c r="X304" i="2"/>
  <c r="W304" i="2"/>
  <c r="Z303" i="2"/>
  <c r="Y303" i="2"/>
  <c r="X303" i="2"/>
  <c r="W303" i="2"/>
  <c r="Z302" i="2"/>
  <c r="Y302" i="2"/>
  <c r="X302" i="2"/>
  <c r="W302" i="2"/>
  <c r="Z301" i="2"/>
  <c r="Y301" i="2"/>
  <c r="X301" i="2"/>
  <c r="W301" i="2"/>
  <c r="Z300" i="2"/>
  <c r="Y300" i="2"/>
  <c r="X300" i="2"/>
  <c r="W300" i="2"/>
  <c r="Z299" i="2"/>
  <c r="Y299" i="2"/>
  <c r="X299" i="2"/>
  <c r="W299" i="2"/>
  <c r="Z298" i="2"/>
  <c r="Y298" i="2"/>
  <c r="X298" i="2"/>
  <c r="W298" i="2"/>
  <c r="Z297" i="2"/>
  <c r="Y297" i="2"/>
  <c r="X297" i="2"/>
  <c r="W297" i="2"/>
  <c r="Z296" i="2"/>
  <c r="Y296" i="2"/>
  <c r="X296" i="2"/>
  <c r="W296" i="2"/>
  <c r="Z295" i="2"/>
  <c r="Y295" i="2"/>
  <c r="X295" i="2"/>
  <c r="W295" i="2"/>
  <c r="Z294" i="2"/>
  <c r="Y294" i="2"/>
  <c r="X294" i="2"/>
  <c r="W294" i="2"/>
  <c r="Z293" i="2"/>
  <c r="Y293" i="2"/>
  <c r="X293" i="2"/>
  <c r="W293" i="2"/>
  <c r="Z292" i="2"/>
  <c r="Y292" i="2"/>
  <c r="X292" i="2"/>
  <c r="W292" i="2"/>
  <c r="Z291" i="2"/>
  <c r="Y291" i="2"/>
  <c r="X291" i="2"/>
  <c r="W291" i="2"/>
  <c r="Z290" i="2"/>
  <c r="Y290" i="2"/>
  <c r="X290" i="2"/>
  <c r="W290" i="2"/>
  <c r="Z289" i="2"/>
  <c r="Y289" i="2"/>
  <c r="X289" i="2"/>
  <c r="W289" i="2"/>
  <c r="Z288" i="2"/>
  <c r="Y288" i="2"/>
  <c r="X288" i="2"/>
  <c r="W288" i="2"/>
  <c r="Z287" i="2"/>
  <c r="Y287" i="2"/>
  <c r="X287" i="2"/>
  <c r="W287" i="2"/>
  <c r="Z286" i="2"/>
  <c r="Y286" i="2"/>
  <c r="X286" i="2"/>
  <c r="W286" i="2"/>
  <c r="Z285" i="2"/>
  <c r="Y285" i="2"/>
  <c r="X285" i="2"/>
  <c r="W285" i="2"/>
  <c r="Z284" i="2"/>
  <c r="Y284" i="2"/>
  <c r="X284" i="2"/>
  <c r="W284" i="2"/>
  <c r="Z283" i="2"/>
  <c r="Y283" i="2"/>
  <c r="X283" i="2"/>
  <c r="W283" i="2"/>
  <c r="Z282" i="2"/>
  <c r="Y282" i="2"/>
  <c r="X282" i="2"/>
  <c r="W282" i="2"/>
  <c r="Z281" i="2"/>
  <c r="Y281" i="2"/>
  <c r="X281" i="2"/>
  <c r="W281" i="2"/>
  <c r="Z280" i="2"/>
  <c r="Y280" i="2"/>
  <c r="X280" i="2"/>
  <c r="W280" i="2"/>
  <c r="Z279" i="2"/>
  <c r="Y279" i="2"/>
  <c r="X279" i="2"/>
  <c r="W279" i="2"/>
  <c r="Z278" i="2"/>
  <c r="Y278" i="2"/>
  <c r="X278" i="2"/>
  <c r="W278" i="2"/>
  <c r="Z277" i="2"/>
  <c r="Y277" i="2"/>
  <c r="X277" i="2"/>
  <c r="W277" i="2"/>
  <c r="Z276" i="2"/>
  <c r="Y276" i="2"/>
  <c r="X276" i="2"/>
  <c r="W276" i="2"/>
  <c r="Z275" i="2"/>
  <c r="Y275" i="2"/>
  <c r="X275" i="2"/>
  <c r="W275" i="2"/>
  <c r="Z274" i="2"/>
  <c r="Y274" i="2"/>
  <c r="X274" i="2"/>
  <c r="W274" i="2"/>
  <c r="Z273" i="2"/>
  <c r="Y273" i="2"/>
  <c r="X273" i="2"/>
  <c r="W273" i="2"/>
  <c r="Z272" i="2"/>
  <c r="Y272" i="2"/>
  <c r="X272" i="2"/>
  <c r="W272" i="2"/>
  <c r="Z271" i="2"/>
  <c r="Y271" i="2"/>
  <c r="X271" i="2"/>
  <c r="W271" i="2"/>
  <c r="Z270" i="2"/>
  <c r="Y270" i="2"/>
  <c r="X270" i="2"/>
  <c r="W270" i="2"/>
  <c r="Z269" i="2"/>
  <c r="Y269" i="2"/>
  <c r="X269" i="2"/>
  <c r="W269" i="2"/>
  <c r="Z268" i="2"/>
  <c r="Y268" i="2"/>
  <c r="X268" i="2"/>
  <c r="W268" i="2"/>
  <c r="Z267" i="2"/>
  <c r="Y267" i="2"/>
  <c r="X267" i="2"/>
  <c r="W267" i="2"/>
  <c r="Z266" i="2"/>
  <c r="Y266" i="2"/>
  <c r="X266" i="2"/>
  <c r="W266" i="2"/>
  <c r="Z265" i="2"/>
  <c r="Y265" i="2"/>
  <c r="X265" i="2"/>
  <c r="W265" i="2"/>
  <c r="Z264" i="2"/>
  <c r="Y264" i="2"/>
  <c r="X264" i="2"/>
  <c r="W264" i="2"/>
  <c r="Z263" i="2"/>
  <c r="Y263" i="2"/>
  <c r="X263" i="2"/>
  <c r="W263" i="2"/>
  <c r="Z262" i="2"/>
  <c r="Y262" i="2"/>
  <c r="X262" i="2"/>
  <c r="W262" i="2"/>
  <c r="Z261" i="2"/>
  <c r="Y261" i="2"/>
  <c r="X261" i="2"/>
  <c r="W261" i="2"/>
  <c r="Z260" i="2"/>
  <c r="Y260" i="2"/>
  <c r="X260" i="2"/>
  <c r="W260" i="2"/>
  <c r="Z259" i="2"/>
  <c r="Y259" i="2"/>
  <c r="X259" i="2"/>
  <c r="W259" i="2"/>
  <c r="Z258" i="2"/>
  <c r="Y258" i="2"/>
  <c r="X258" i="2"/>
  <c r="W258" i="2"/>
  <c r="Z257" i="2"/>
  <c r="Y257" i="2"/>
  <c r="X257" i="2"/>
  <c r="W257" i="2"/>
  <c r="Z256" i="2"/>
  <c r="Y256" i="2"/>
  <c r="X256" i="2"/>
  <c r="W256" i="2"/>
  <c r="Z255" i="2"/>
  <c r="Y255" i="2"/>
  <c r="X255" i="2"/>
  <c r="W255" i="2"/>
  <c r="Z254" i="2"/>
  <c r="Y254" i="2"/>
  <c r="X254" i="2"/>
  <c r="W254" i="2"/>
  <c r="Z253" i="2"/>
  <c r="Y253" i="2"/>
  <c r="X253" i="2"/>
  <c r="W253" i="2"/>
  <c r="Z252" i="2"/>
  <c r="Y252" i="2"/>
  <c r="X252" i="2"/>
  <c r="W252" i="2"/>
  <c r="Z251" i="2"/>
  <c r="Y251" i="2"/>
  <c r="X251" i="2"/>
  <c r="W251" i="2"/>
  <c r="Z250" i="2"/>
  <c r="Y250" i="2"/>
  <c r="X250" i="2"/>
  <c r="W250" i="2"/>
  <c r="Z249" i="2"/>
  <c r="Y249" i="2"/>
  <c r="X249" i="2"/>
  <c r="W249" i="2"/>
  <c r="Z248" i="2"/>
  <c r="Y248" i="2"/>
  <c r="X248" i="2"/>
  <c r="W248" i="2"/>
  <c r="Z247" i="2"/>
  <c r="Y247" i="2"/>
  <c r="X247" i="2"/>
  <c r="W247" i="2"/>
  <c r="Z246" i="2"/>
  <c r="Y246" i="2"/>
  <c r="X246" i="2"/>
  <c r="W246" i="2"/>
  <c r="Z245" i="2"/>
  <c r="Y245" i="2"/>
  <c r="X245" i="2"/>
  <c r="W245" i="2"/>
  <c r="Z244" i="2"/>
  <c r="Y244" i="2"/>
  <c r="X244" i="2"/>
  <c r="W244" i="2"/>
  <c r="Z243" i="2"/>
  <c r="Y243" i="2"/>
  <c r="X243" i="2"/>
  <c r="W243" i="2"/>
  <c r="Z242" i="2"/>
  <c r="Y242" i="2"/>
  <c r="X242" i="2"/>
  <c r="W242" i="2"/>
  <c r="Z241" i="2"/>
  <c r="Y241" i="2"/>
  <c r="X241" i="2"/>
  <c r="W241" i="2"/>
  <c r="Z240" i="2"/>
  <c r="Y240" i="2"/>
  <c r="X240" i="2"/>
  <c r="W240" i="2"/>
  <c r="Z239" i="2"/>
  <c r="Y239" i="2"/>
  <c r="X239" i="2"/>
  <c r="W239" i="2"/>
  <c r="Z238" i="2"/>
  <c r="Y238" i="2"/>
  <c r="X238" i="2"/>
  <c r="W238" i="2"/>
  <c r="Z237" i="2"/>
  <c r="Y237" i="2"/>
  <c r="X237" i="2"/>
  <c r="W237" i="2"/>
  <c r="Z236" i="2"/>
  <c r="Y236" i="2"/>
  <c r="X236" i="2"/>
  <c r="W236" i="2"/>
  <c r="Z235" i="2"/>
  <c r="Y235" i="2"/>
  <c r="X235" i="2"/>
  <c r="W235" i="2"/>
  <c r="Z234" i="2"/>
  <c r="Y234" i="2"/>
  <c r="X234" i="2"/>
  <c r="W234" i="2"/>
  <c r="Z233" i="2"/>
  <c r="Y233" i="2"/>
  <c r="X233" i="2"/>
  <c r="W233" i="2"/>
  <c r="Z232" i="2"/>
  <c r="Y232" i="2"/>
  <c r="X232" i="2"/>
  <c r="W232" i="2"/>
  <c r="Z231" i="2"/>
  <c r="Y231" i="2"/>
  <c r="X231" i="2"/>
  <c r="W231" i="2"/>
  <c r="Z230" i="2"/>
  <c r="Y230" i="2"/>
  <c r="X230" i="2"/>
  <c r="W230" i="2"/>
  <c r="Z229" i="2"/>
  <c r="Y229" i="2"/>
  <c r="X229" i="2"/>
  <c r="W229" i="2"/>
  <c r="Z228" i="2"/>
  <c r="Y228" i="2"/>
  <c r="X228" i="2"/>
  <c r="W228" i="2"/>
  <c r="Z227" i="2"/>
  <c r="Y227" i="2"/>
  <c r="X227" i="2"/>
  <c r="W227" i="2"/>
  <c r="Z226" i="2"/>
  <c r="Y226" i="2"/>
  <c r="X226" i="2"/>
  <c r="W226" i="2"/>
  <c r="Z225" i="2"/>
  <c r="Y225" i="2"/>
  <c r="X225" i="2"/>
  <c r="W225" i="2"/>
  <c r="Z224" i="2"/>
  <c r="Y224" i="2"/>
  <c r="X224" i="2"/>
  <c r="W224" i="2"/>
  <c r="Z223" i="2"/>
  <c r="Y223" i="2"/>
  <c r="X223" i="2"/>
  <c r="W223" i="2"/>
  <c r="Z222" i="2"/>
  <c r="Y222" i="2"/>
  <c r="X222" i="2"/>
  <c r="W222" i="2"/>
  <c r="Z221" i="2"/>
  <c r="Y221" i="2"/>
  <c r="X221" i="2"/>
  <c r="W221" i="2"/>
  <c r="Z220" i="2"/>
  <c r="Y220" i="2"/>
  <c r="X220" i="2"/>
  <c r="W220" i="2"/>
  <c r="Z219" i="2"/>
  <c r="Y219" i="2"/>
  <c r="X219" i="2"/>
  <c r="W219" i="2"/>
  <c r="Z218" i="2"/>
  <c r="Y218" i="2"/>
  <c r="X218" i="2"/>
  <c r="W218" i="2"/>
  <c r="Z217" i="2"/>
  <c r="Y217" i="2"/>
  <c r="X217" i="2"/>
  <c r="W217" i="2"/>
  <c r="Z216" i="2"/>
  <c r="Y216" i="2"/>
  <c r="X216" i="2"/>
  <c r="W216" i="2"/>
  <c r="Z215" i="2"/>
  <c r="Y215" i="2"/>
  <c r="X215" i="2"/>
  <c r="W215" i="2"/>
  <c r="Z214" i="2"/>
  <c r="Y214" i="2"/>
  <c r="X214" i="2"/>
  <c r="W214" i="2"/>
  <c r="Z213" i="2"/>
  <c r="Y213" i="2"/>
  <c r="X213" i="2"/>
  <c r="W213" i="2"/>
  <c r="Z212" i="2"/>
  <c r="Y212" i="2"/>
  <c r="X212" i="2"/>
  <c r="W212" i="2"/>
  <c r="Z211" i="2"/>
  <c r="Y211" i="2"/>
  <c r="X211" i="2"/>
  <c r="W211" i="2"/>
  <c r="Z210" i="2"/>
  <c r="Y210" i="2"/>
  <c r="X210" i="2"/>
  <c r="W210" i="2"/>
  <c r="Z209" i="2"/>
  <c r="Y209" i="2"/>
  <c r="X209" i="2"/>
  <c r="W209" i="2"/>
  <c r="Z208" i="2"/>
  <c r="Y208" i="2"/>
  <c r="X208" i="2"/>
  <c r="W208" i="2"/>
  <c r="Z207" i="2"/>
  <c r="Y207" i="2"/>
  <c r="X207" i="2"/>
  <c r="W207" i="2"/>
  <c r="Z206" i="2"/>
  <c r="Y206" i="2"/>
  <c r="X206" i="2"/>
  <c r="W206" i="2"/>
  <c r="Z205" i="2"/>
  <c r="Y205" i="2"/>
  <c r="X205" i="2"/>
  <c r="W205" i="2"/>
  <c r="Z204" i="2"/>
  <c r="Y204" i="2"/>
  <c r="X204" i="2"/>
  <c r="W204" i="2"/>
  <c r="Z203" i="2"/>
  <c r="Y203" i="2"/>
  <c r="X203" i="2"/>
  <c r="W203" i="2"/>
  <c r="Z202" i="2"/>
  <c r="Y202" i="2"/>
  <c r="X202" i="2"/>
  <c r="W202" i="2"/>
  <c r="Z201" i="2"/>
  <c r="Y201" i="2"/>
  <c r="X201" i="2"/>
  <c r="W201" i="2"/>
  <c r="Z200" i="2"/>
  <c r="Y200" i="2"/>
  <c r="X200" i="2"/>
  <c r="W200" i="2"/>
  <c r="Z199" i="2"/>
  <c r="Y199" i="2"/>
  <c r="X199" i="2"/>
  <c r="W199" i="2"/>
  <c r="Z198" i="2"/>
  <c r="Y198" i="2"/>
  <c r="X198" i="2"/>
  <c r="W198" i="2"/>
  <c r="Z197" i="2"/>
  <c r="Y197" i="2"/>
  <c r="X197" i="2"/>
  <c r="W197" i="2"/>
  <c r="Z196" i="2"/>
  <c r="Y196" i="2"/>
  <c r="X196" i="2"/>
  <c r="W196" i="2"/>
  <c r="Z195" i="2"/>
  <c r="Y195" i="2"/>
  <c r="X195" i="2"/>
  <c r="W195" i="2"/>
  <c r="Z194" i="2"/>
  <c r="Y194" i="2"/>
  <c r="X194" i="2"/>
  <c r="W194" i="2"/>
  <c r="Z193" i="2"/>
  <c r="Y193" i="2"/>
  <c r="X193" i="2"/>
  <c r="W193" i="2"/>
  <c r="Z192" i="2"/>
  <c r="Y192" i="2"/>
  <c r="X192" i="2"/>
  <c r="W192" i="2"/>
  <c r="Z191" i="2"/>
  <c r="Y191" i="2"/>
  <c r="X191" i="2"/>
  <c r="W191" i="2"/>
  <c r="Z190" i="2"/>
  <c r="Y190" i="2"/>
  <c r="X190" i="2"/>
  <c r="W190" i="2"/>
  <c r="Z189" i="2"/>
  <c r="Y189" i="2"/>
  <c r="X189" i="2"/>
  <c r="W189" i="2"/>
  <c r="Z188" i="2"/>
  <c r="Y188" i="2"/>
  <c r="X188" i="2"/>
  <c r="W188" i="2"/>
  <c r="Z187" i="2"/>
  <c r="Y187" i="2"/>
  <c r="X187" i="2"/>
  <c r="W187" i="2"/>
  <c r="Z186" i="2"/>
  <c r="Y186" i="2"/>
  <c r="X186" i="2"/>
  <c r="W186" i="2"/>
  <c r="Z185" i="2"/>
  <c r="Y185" i="2"/>
  <c r="X185" i="2"/>
  <c r="W185" i="2"/>
  <c r="Z184" i="2"/>
  <c r="Y184" i="2"/>
  <c r="X184" i="2"/>
  <c r="W184" i="2"/>
  <c r="Z183" i="2"/>
  <c r="Y183" i="2"/>
  <c r="X183" i="2"/>
  <c r="W183" i="2"/>
  <c r="Z182" i="2"/>
  <c r="Y182" i="2"/>
  <c r="X182" i="2"/>
  <c r="W182" i="2"/>
  <c r="Z181" i="2"/>
  <c r="Y181" i="2"/>
  <c r="X181" i="2"/>
  <c r="W181" i="2"/>
  <c r="Z180" i="2"/>
  <c r="Y180" i="2"/>
  <c r="X180" i="2"/>
  <c r="W180" i="2"/>
  <c r="Z179" i="2"/>
  <c r="Y179" i="2"/>
  <c r="X179" i="2"/>
  <c r="W179" i="2"/>
  <c r="Z178" i="2"/>
  <c r="Y178" i="2"/>
  <c r="X178" i="2"/>
  <c r="W178" i="2"/>
  <c r="Z177" i="2"/>
  <c r="Y177" i="2"/>
  <c r="X177" i="2"/>
  <c r="W177" i="2"/>
  <c r="Z176" i="2"/>
  <c r="Y176" i="2"/>
  <c r="X176" i="2"/>
  <c r="W176" i="2"/>
  <c r="Z175" i="2"/>
  <c r="Y175" i="2"/>
  <c r="X175" i="2"/>
  <c r="W175" i="2"/>
  <c r="Z174" i="2"/>
  <c r="Y174" i="2"/>
  <c r="X174" i="2"/>
  <c r="W174" i="2"/>
  <c r="Z173" i="2"/>
  <c r="Y173" i="2"/>
  <c r="X173" i="2"/>
  <c r="W173" i="2"/>
  <c r="Z172" i="2"/>
  <c r="Y172" i="2"/>
  <c r="X172" i="2"/>
  <c r="W172" i="2"/>
  <c r="Z171" i="2"/>
  <c r="Y171" i="2"/>
  <c r="X171" i="2"/>
  <c r="W171" i="2"/>
  <c r="Z170" i="2"/>
  <c r="Y170" i="2"/>
  <c r="X170" i="2"/>
  <c r="W170" i="2"/>
  <c r="Z169" i="2"/>
  <c r="Y169" i="2"/>
  <c r="X169" i="2"/>
  <c r="W169" i="2"/>
  <c r="Z168" i="2"/>
  <c r="Y168" i="2"/>
  <c r="X168" i="2"/>
  <c r="W168" i="2"/>
  <c r="Z167" i="2"/>
  <c r="Y167" i="2"/>
  <c r="X167" i="2"/>
  <c r="W167" i="2"/>
  <c r="Z166" i="2"/>
  <c r="Y166" i="2"/>
  <c r="X166" i="2"/>
  <c r="W166" i="2"/>
  <c r="Z165" i="2"/>
  <c r="Y165" i="2"/>
  <c r="X165" i="2"/>
  <c r="W165" i="2"/>
  <c r="Z164" i="2"/>
  <c r="Y164" i="2"/>
  <c r="X164" i="2"/>
  <c r="W164" i="2"/>
  <c r="Z163" i="2"/>
  <c r="Y163" i="2"/>
  <c r="X163" i="2"/>
  <c r="W163" i="2"/>
  <c r="Z162" i="2"/>
  <c r="Y162" i="2"/>
  <c r="X162" i="2"/>
  <c r="W162" i="2"/>
  <c r="Z161" i="2"/>
  <c r="Y161" i="2"/>
  <c r="X161" i="2"/>
  <c r="W161" i="2"/>
  <c r="Z160" i="2"/>
  <c r="Y160" i="2"/>
  <c r="X160" i="2"/>
  <c r="W160" i="2"/>
  <c r="Z159" i="2"/>
  <c r="Y159" i="2"/>
  <c r="X159" i="2"/>
  <c r="W159" i="2"/>
  <c r="Z158" i="2"/>
  <c r="Y158" i="2"/>
  <c r="X158" i="2"/>
  <c r="W158" i="2"/>
  <c r="Z157" i="2"/>
  <c r="Y157" i="2"/>
  <c r="X157" i="2"/>
  <c r="W157" i="2"/>
  <c r="Z156" i="2"/>
  <c r="Y156" i="2"/>
  <c r="X156" i="2"/>
  <c r="W156" i="2"/>
  <c r="Z155" i="2"/>
  <c r="Y155" i="2"/>
  <c r="X155" i="2"/>
  <c r="W155" i="2"/>
  <c r="Z154" i="2"/>
  <c r="Y154" i="2"/>
  <c r="X154" i="2"/>
  <c r="W154" i="2"/>
  <c r="Z153" i="2"/>
  <c r="Y153" i="2"/>
  <c r="X153" i="2"/>
  <c r="W153" i="2"/>
  <c r="Z152" i="2"/>
  <c r="Y152" i="2"/>
  <c r="X152" i="2"/>
  <c r="W152" i="2"/>
  <c r="Z151" i="2"/>
  <c r="Y151" i="2"/>
  <c r="X151" i="2"/>
  <c r="W151" i="2"/>
  <c r="Z150" i="2"/>
  <c r="Y150" i="2"/>
  <c r="X150" i="2"/>
  <c r="W150" i="2"/>
  <c r="Z149" i="2"/>
  <c r="Y149" i="2"/>
  <c r="X149" i="2"/>
  <c r="W149" i="2"/>
  <c r="Z148" i="2"/>
  <c r="Y148" i="2"/>
  <c r="X148" i="2"/>
  <c r="W148" i="2"/>
  <c r="Z147" i="2"/>
  <c r="Y147" i="2"/>
  <c r="X147" i="2"/>
  <c r="W147" i="2"/>
  <c r="Z146" i="2"/>
  <c r="Y146" i="2"/>
  <c r="X146" i="2"/>
  <c r="W146" i="2"/>
  <c r="Z145" i="2"/>
  <c r="Y145" i="2"/>
  <c r="X145" i="2"/>
  <c r="W145" i="2"/>
  <c r="Z144" i="2"/>
  <c r="Y144" i="2"/>
  <c r="X144" i="2"/>
  <c r="W144" i="2"/>
  <c r="Z143" i="2"/>
  <c r="Y143" i="2"/>
  <c r="X143" i="2"/>
  <c r="W143" i="2"/>
  <c r="Z142" i="2"/>
  <c r="Y142" i="2"/>
  <c r="X142" i="2"/>
  <c r="W142" i="2"/>
  <c r="Z141" i="2"/>
  <c r="Y141" i="2"/>
  <c r="X141" i="2"/>
  <c r="W141" i="2"/>
  <c r="Z140" i="2"/>
  <c r="Y140" i="2"/>
  <c r="X140" i="2"/>
  <c r="W140" i="2"/>
  <c r="Z139" i="2"/>
  <c r="Y139" i="2"/>
  <c r="X139" i="2"/>
  <c r="W139" i="2"/>
  <c r="Z138" i="2"/>
  <c r="Y138" i="2"/>
  <c r="X138" i="2"/>
  <c r="W138" i="2"/>
  <c r="Z137" i="2"/>
  <c r="Y137" i="2"/>
  <c r="X137" i="2"/>
  <c r="W137" i="2"/>
  <c r="Z136" i="2"/>
  <c r="Y136" i="2"/>
  <c r="X136" i="2"/>
  <c r="W136" i="2"/>
  <c r="Z135" i="2"/>
  <c r="Y135" i="2"/>
  <c r="X135" i="2"/>
  <c r="W135" i="2"/>
  <c r="Z134" i="2"/>
  <c r="Y134" i="2"/>
  <c r="X134" i="2"/>
  <c r="W134" i="2"/>
  <c r="Z133" i="2"/>
  <c r="Y133" i="2"/>
  <c r="X133" i="2"/>
  <c r="W133" i="2"/>
  <c r="Z132" i="2"/>
  <c r="Y132" i="2"/>
  <c r="X132" i="2"/>
  <c r="W132" i="2"/>
  <c r="Z131" i="2"/>
  <c r="Y131" i="2"/>
  <c r="X131" i="2"/>
  <c r="W131" i="2"/>
  <c r="Z130" i="2"/>
  <c r="Y130" i="2"/>
  <c r="X130" i="2"/>
  <c r="W130" i="2"/>
  <c r="Z129" i="2"/>
  <c r="Y129" i="2"/>
  <c r="X129" i="2"/>
  <c r="W129" i="2"/>
  <c r="Z128" i="2"/>
  <c r="Y128" i="2"/>
  <c r="X128" i="2"/>
  <c r="W128" i="2"/>
  <c r="Z127" i="2"/>
  <c r="Y127" i="2"/>
  <c r="X127" i="2"/>
  <c r="W127" i="2"/>
  <c r="Z126" i="2"/>
  <c r="Y126" i="2"/>
  <c r="X126" i="2"/>
  <c r="W126" i="2"/>
  <c r="Z125" i="2"/>
  <c r="Y125" i="2"/>
  <c r="X125" i="2"/>
  <c r="W125" i="2"/>
  <c r="Z124" i="2"/>
  <c r="Y124" i="2"/>
  <c r="X124" i="2"/>
  <c r="W124" i="2"/>
  <c r="Z123" i="2"/>
  <c r="Y123" i="2"/>
  <c r="X123" i="2"/>
  <c r="W123" i="2"/>
  <c r="Z122" i="2"/>
  <c r="Y122" i="2"/>
  <c r="X122" i="2"/>
  <c r="W122" i="2"/>
  <c r="Z121" i="2"/>
  <c r="Y121" i="2"/>
  <c r="X121" i="2"/>
  <c r="W121" i="2"/>
  <c r="Z120" i="2"/>
  <c r="Y120" i="2"/>
  <c r="X120" i="2"/>
  <c r="W120" i="2"/>
  <c r="Z119" i="2"/>
  <c r="Y119" i="2"/>
  <c r="X119" i="2"/>
  <c r="W119" i="2"/>
  <c r="Z118" i="2"/>
  <c r="Y118" i="2"/>
  <c r="X118" i="2"/>
  <c r="W118" i="2"/>
  <c r="Z117" i="2"/>
  <c r="Y117" i="2"/>
  <c r="X117" i="2"/>
  <c r="W117" i="2"/>
  <c r="Z116" i="2"/>
  <c r="Y116" i="2"/>
  <c r="X116" i="2"/>
  <c r="W116" i="2"/>
  <c r="Z115" i="2"/>
  <c r="Y115" i="2"/>
  <c r="X115" i="2"/>
  <c r="W115" i="2"/>
  <c r="Z114" i="2"/>
  <c r="Y114" i="2"/>
  <c r="X114" i="2"/>
  <c r="W114" i="2"/>
  <c r="Z113" i="2"/>
  <c r="Y113" i="2"/>
  <c r="X113" i="2"/>
  <c r="W113" i="2"/>
  <c r="Z112" i="2"/>
  <c r="Y112" i="2"/>
  <c r="X112" i="2"/>
  <c r="W112" i="2"/>
  <c r="Z111" i="2"/>
  <c r="Y111" i="2"/>
  <c r="X111" i="2"/>
  <c r="W111" i="2"/>
  <c r="Z110" i="2"/>
  <c r="Y110" i="2"/>
  <c r="X110" i="2"/>
  <c r="W110" i="2"/>
  <c r="Z109" i="2"/>
  <c r="Y109" i="2"/>
  <c r="X109" i="2"/>
  <c r="W109" i="2"/>
  <c r="Z108" i="2"/>
  <c r="Y108" i="2"/>
  <c r="X108" i="2"/>
  <c r="W108" i="2"/>
  <c r="Z107" i="2"/>
  <c r="Y107" i="2"/>
  <c r="X107" i="2"/>
  <c r="W107" i="2"/>
  <c r="Z106" i="2"/>
  <c r="Y106" i="2"/>
  <c r="X106" i="2"/>
  <c r="W106" i="2"/>
  <c r="Z105" i="2"/>
  <c r="Y105" i="2"/>
  <c r="X105" i="2"/>
  <c r="W105" i="2"/>
  <c r="Z104" i="2"/>
  <c r="Y104" i="2"/>
  <c r="X104" i="2"/>
  <c r="W104" i="2"/>
  <c r="Z103" i="2"/>
  <c r="Y103" i="2"/>
  <c r="X103" i="2"/>
  <c r="W103" i="2"/>
  <c r="Z102" i="2"/>
  <c r="Y102" i="2"/>
  <c r="X102" i="2"/>
  <c r="W102" i="2"/>
  <c r="Z101" i="2"/>
  <c r="Y101" i="2"/>
  <c r="X101" i="2"/>
  <c r="W101" i="2"/>
  <c r="Z100" i="2"/>
  <c r="Y100" i="2"/>
  <c r="X100" i="2"/>
  <c r="W100" i="2"/>
  <c r="Z99" i="2"/>
  <c r="Y99" i="2"/>
  <c r="X99" i="2"/>
  <c r="W99" i="2"/>
  <c r="Z98" i="2"/>
  <c r="Y98" i="2"/>
  <c r="X98" i="2"/>
  <c r="W98" i="2"/>
  <c r="Z97" i="2"/>
  <c r="Y97" i="2"/>
  <c r="X97" i="2"/>
  <c r="W97" i="2"/>
  <c r="Z96" i="2"/>
  <c r="Y96" i="2"/>
  <c r="X96" i="2"/>
  <c r="W96" i="2"/>
  <c r="Z95" i="2"/>
  <c r="Y95" i="2"/>
  <c r="X95" i="2"/>
  <c r="W95" i="2"/>
  <c r="Z94" i="2"/>
  <c r="Y94" i="2"/>
  <c r="X94" i="2"/>
  <c r="W94" i="2"/>
  <c r="Z93" i="2"/>
  <c r="Y93" i="2"/>
  <c r="X93" i="2"/>
  <c r="W93" i="2"/>
  <c r="Z92" i="2"/>
  <c r="Y92" i="2"/>
  <c r="X92" i="2"/>
  <c r="W92" i="2"/>
  <c r="Z91" i="2"/>
  <c r="Y91" i="2"/>
  <c r="X91" i="2"/>
  <c r="W91" i="2"/>
  <c r="Z90" i="2"/>
  <c r="Y90" i="2"/>
  <c r="X90" i="2"/>
  <c r="W90" i="2"/>
  <c r="Z89" i="2"/>
  <c r="Y89" i="2"/>
  <c r="X89" i="2"/>
  <c r="W89" i="2"/>
  <c r="Z88" i="2"/>
  <c r="Y88" i="2"/>
  <c r="X88" i="2"/>
  <c r="W88" i="2"/>
  <c r="Z87" i="2"/>
  <c r="Y87" i="2"/>
  <c r="X87" i="2"/>
  <c r="W87" i="2"/>
  <c r="Z86" i="2"/>
  <c r="Y86" i="2"/>
  <c r="X86" i="2"/>
  <c r="W86" i="2"/>
  <c r="Z85" i="2"/>
  <c r="Y85" i="2"/>
  <c r="X85" i="2"/>
  <c r="W85" i="2"/>
  <c r="Z84" i="2"/>
  <c r="Y84" i="2"/>
  <c r="X84" i="2"/>
  <c r="W84" i="2"/>
  <c r="Z83" i="2"/>
  <c r="Y83" i="2"/>
  <c r="X83" i="2"/>
  <c r="W83" i="2"/>
  <c r="Z82" i="2"/>
  <c r="Y82" i="2"/>
  <c r="X82" i="2"/>
  <c r="W82" i="2"/>
  <c r="Z81" i="2"/>
  <c r="Y81" i="2"/>
  <c r="X81" i="2"/>
  <c r="W81" i="2"/>
  <c r="Z80" i="2"/>
  <c r="Y80" i="2"/>
  <c r="X80" i="2"/>
  <c r="W80" i="2"/>
  <c r="Z79" i="2"/>
  <c r="Y79" i="2"/>
  <c r="X79" i="2"/>
  <c r="W79" i="2"/>
  <c r="Z78" i="2"/>
  <c r="Y78" i="2"/>
  <c r="X78" i="2"/>
  <c r="W78" i="2"/>
  <c r="Z77" i="2"/>
  <c r="Y77" i="2"/>
  <c r="X77" i="2"/>
  <c r="W77" i="2"/>
  <c r="Z76" i="2"/>
  <c r="Y76" i="2"/>
  <c r="X76" i="2"/>
  <c r="W76" i="2"/>
  <c r="Z75" i="2"/>
  <c r="Y75" i="2"/>
  <c r="X75" i="2"/>
  <c r="W75" i="2"/>
  <c r="Z74" i="2"/>
  <c r="Y74" i="2"/>
  <c r="X74" i="2"/>
  <c r="W74" i="2"/>
  <c r="Z73" i="2"/>
  <c r="Y73" i="2"/>
  <c r="X73" i="2"/>
  <c r="W73" i="2"/>
  <c r="Z72" i="2"/>
  <c r="Y72" i="2"/>
  <c r="X72" i="2"/>
  <c r="W72" i="2"/>
  <c r="Z71" i="2"/>
  <c r="Y71" i="2"/>
  <c r="X71" i="2"/>
  <c r="W71" i="2"/>
  <c r="Z70" i="2"/>
  <c r="Y70" i="2"/>
  <c r="X70" i="2"/>
  <c r="W70" i="2"/>
  <c r="Z69" i="2"/>
  <c r="Y69" i="2"/>
  <c r="X69" i="2"/>
  <c r="W69" i="2"/>
  <c r="Z68" i="2"/>
  <c r="Y68" i="2"/>
  <c r="X68" i="2"/>
  <c r="W68" i="2"/>
  <c r="Z67" i="2"/>
  <c r="Y67" i="2"/>
  <c r="X67" i="2"/>
  <c r="W67" i="2"/>
  <c r="Z66" i="2"/>
  <c r="Y66" i="2"/>
  <c r="X66" i="2"/>
  <c r="W66" i="2"/>
  <c r="Z65" i="2"/>
  <c r="Y65" i="2"/>
  <c r="X65" i="2"/>
  <c r="W65" i="2"/>
  <c r="Z64" i="2"/>
  <c r="Y64" i="2"/>
  <c r="X64" i="2"/>
  <c r="W64" i="2"/>
  <c r="Z63" i="2"/>
  <c r="Y63" i="2"/>
  <c r="X63" i="2"/>
  <c r="W63" i="2"/>
  <c r="Z62" i="2"/>
  <c r="Y62" i="2"/>
  <c r="X62" i="2"/>
  <c r="W62" i="2"/>
  <c r="Z61" i="2"/>
  <c r="Y61" i="2"/>
  <c r="X61" i="2"/>
  <c r="W61" i="2"/>
  <c r="Z60" i="2"/>
  <c r="Y60" i="2"/>
  <c r="X60" i="2"/>
  <c r="W60" i="2"/>
  <c r="Z59" i="2"/>
  <c r="Y59" i="2"/>
  <c r="X59" i="2"/>
  <c r="W59" i="2"/>
  <c r="Z58" i="2"/>
  <c r="Y58" i="2"/>
  <c r="X58" i="2"/>
  <c r="W58" i="2"/>
  <c r="Z57" i="2"/>
  <c r="Y57" i="2"/>
  <c r="X57" i="2"/>
  <c r="W57" i="2"/>
  <c r="Z56" i="2"/>
  <c r="Y56" i="2"/>
  <c r="X56" i="2"/>
  <c r="W56" i="2"/>
  <c r="Z55" i="2"/>
  <c r="Y55" i="2"/>
  <c r="X55" i="2"/>
  <c r="W55" i="2"/>
  <c r="Z54" i="2"/>
  <c r="Y54" i="2"/>
  <c r="X54" i="2"/>
  <c r="W54" i="2"/>
  <c r="Z53" i="2"/>
  <c r="Y53" i="2"/>
  <c r="X53" i="2"/>
  <c r="W53" i="2"/>
  <c r="Z52" i="2"/>
  <c r="Y52" i="2"/>
  <c r="X52" i="2"/>
  <c r="W52" i="2"/>
  <c r="Z51" i="2"/>
  <c r="Y51" i="2"/>
  <c r="X51" i="2"/>
  <c r="W51" i="2"/>
  <c r="Z50" i="2"/>
  <c r="Y50" i="2"/>
  <c r="X50" i="2"/>
  <c r="W50" i="2"/>
  <c r="Z49" i="2"/>
  <c r="Y49" i="2"/>
  <c r="X49" i="2"/>
  <c r="W49" i="2"/>
  <c r="Z48" i="2"/>
  <c r="Y48" i="2"/>
  <c r="X48" i="2"/>
  <c r="W48" i="2"/>
  <c r="Z47" i="2"/>
  <c r="Y47" i="2"/>
  <c r="X47" i="2"/>
  <c r="W47" i="2"/>
  <c r="Z46" i="2"/>
  <c r="Y46" i="2"/>
  <c r="X46" i="2"/>
  <c r="W46" i="2"/>
  <c r="Z45" i="2"/>
  <c r="Y45" i="2"/>
  <c r="X45" i="2"/>
  <c r="W45" i="2"/>
  <c r="Z44" i="2"/>
  <c r="Y44" i="2"/>
  <c r="X44" i="2"/>
  <c r="W44" i="2"/>
  <c r="Z43" i="2"/>
  <c r="Y43" i="2"/>
  <c r="X43" i="2"/>
  <c r="W43" i="2"/>
  <c r="Z42" i="2"/>
  <c r="Y42" i="2"/>
  <c r="X42" i="2"/>
  <c r="W42" i="2"/>
  <c r="Z41" i="2"/>
  <c r="Y41" i="2"/>
  <c r="X41" i="2"/>
  <c r="W41" i="2"/>
  <c r="Z40" i="2"/>
  <c r="Y40" i="2"/>
  <c r="X40" i="2"/>
  <c r="W40" i="2"/>
  <c r="Z39" i="2"/>
  <c r="Y39" i="2"/>
  <c r="X39" i="2"/>
  <c r="W39" i="2"/>
  <c r="Z38" i="2"/>
  <c r="Y38" i="2"/>
  <c r="X38" i="2"/>
  <c r="W38" i="2"/>
  <c r="Z37" i="2"/>
  <c r="Y37" i="2"/>
  <c r="X37" i="2"/>
  <c r="W37" i="2"/>
  <c r="Z36" i="2"/>
  <c r="Y36" i="2"/>
  <c r="X36" i="2"/>
  <c r="W36" i="2"/>
  <c r="Z35" i="2"/>
  <c r="Y35" i="2"/>
  <c r="X35" i="2"/>
  <c r="W35" i="2"/>
  <c r="Z34" i="2"/>
  <c r="Y34" i="2"/>
  <c r="X34" i="2"/>
  <c r="W34" i="2"/>
  <c r="Z33" i="2"/>
  <c r="Y33" i="2"/>
  <c r="X33" i="2"/>
  <c r="W33" i="2"/>
  <c r="Z32" i="2"/>
  <c r="Y32" i="2"/>
  <c r="X32" i="2"/>
  <c r="W32" i="2"/>
  <c r="Z31" i="2"/>
  <c r="Y31" i="2"/>
  <c r="X31" i="2"/>
  <c r="W31" i="2"/>
  <c r="Z30" i="2"/>
  <c r="Y30" i="2"/>
  <c r="X30" i="2"/>
  <c r="W30" i="2"/>
  <c r="Z29" i="2"/>
  <c r="Y29" i="2"/>
  <c r="X29" i="2"/>
  <c r="W29" i="2"/>
  <c r="Z28" i="2"/>
  <c r="Y28" i="2"/>
  <c r="X28" i="2"/>
  <c r="W28" i="2"/>
  <c r="Z27" i="2"/>
  <c r="Y27" i="2"/>
  <c r="X27" i="2"/>
  <c r="W27" i="2"/>
  <c r="Z26" i="2"/>
  <c r="Y26" i="2"/>
  <c r="X26" i="2"/>
  <c r="W26" i="2"/>
  <c r="Z25" i="2"/>
  <c r="Y25" i="2"/>
  <c r="X25" i="2"/>
  <c r="W25" i="2"/>
  <c r="Z24" i="2"/>
  <c r="Y24" i="2"/>
  <c r="X24" i="2"/>
  <c r="W24" i="2"/>
  <c r="Z23" i="2"/>
  <c r="Y23" i="2"/>
  <c r="X23" i="2"/>
  <c r="W23" i="2"/>
  <c r="Z22" i="2"/>
  <c r="Y22" i="2"/>
  <c r="X22" i="2"/>
  <c r="W22" i="2"/>
  <c r="Z21" i="2"/>
  <c r="Y21" i="2"/>
  <c r="X21" i="2"/>
  <c r="W21" i="2"/>
  <c r="Z20" i="2"/>
  <c r="Y20" i="2"/>
  <c r="X20" i="2"/>
  <c r="W20" i="2"/>
  <c r="Z19" i="2"/>
  <c r="Y19" i="2"/>
  <c r="X19" i="2"/>
  <c r="W19" i="2"/>
  <c r="Z18" i="2"/>
  <c r="Y18" i="2"/>
  <c r="X18" i="2"/>
  <c r="W18" i="2"/>
  <c r="Z17" i="2"/>
  <c r="Y17" i="2"/>
  <c r="X17" i="2"/>
  <c r="W17" i="2"/>
  <c r="Z16" i="2"/>
  <c r="Y16" i="2"/>
  <c r="X16" i="2"/>
  <c r="W16" i="2"/>
  <c r="Z15" i="2"/>
  <c r="Y15" i="2"/>
  <c r="X15" i="2"/>
  <c r="W15" i="2"/>
  <c r="Z14" i="2"/>
  <c r="Y14" i="2"/>
  <c r="X14" i="2"/>
  <c r="W14" i="2"/>
  <c r="Z13" i="2"/>
  <c r="Y13" i="2"/>
  <c r="X13" i="2"/>
  <c r="W13" i="2"/>
  <c r="Z12" i="2"/>
  <c r="Y12" i="2"/>
  <c r="X12" i="2"/>
  <c r="W12" i="2"/>
  <c r="Z11" i="2"/>
  <c r="Y11" i="2"/>
  <c r="X11" i="2"/>
  <c r="W11" i="2"/>
  <c r="Z10" i="2"/>
  <c r="Y10" i="2"/>
  <c r="X10" i="2"/>
  <c r="W10" i="2"/>
  <c r="Z9" i="2"/>
  <c r="Y9" i="2"/>
  <c r="X9" i="2"/>
  <c r="W9" i="2"/>
  <c r="Z8" i="2"/>
  <c r="Y8" i="2"/>
  <c r="X8" i="2"/>
  <c r="W8" i="2"/>
  <c r="Z7" i="2"/>
  <c r="Y7" i="2"/>
  <c r="X7" i="2"/>
  <c r="W7" i="2"/>
  <c r="Z6" i="2"/>
  <c r="Y6" i="2"/>
  <c r="X6" i="2"/>
  <c r="W6" i="2"/>
  <c r="Z5" i="2"/>
  <c r="Y5" i="2"/>
  <c r="X5" i="2"/>
  <c r="W5" i="2"/>
  <c r="Z4" i="2"/>
  <c r="Y4" i="2"/>
  <c r="X4" i="2"/>
  <c r="W4" i="2"/>
  <c r="Z3" i="2"/>
  <c r="Y3" i="2"/>
  <c r="X3" i="2"/>
  <c r="W3" i="2"/>
  <c r="Z2" i="2"/>
  <c r="Y2" i="2"/>
  <c r="X2" i="2"/>
  <c r="W2" i="2"/>
</calcChain>
</file>

<file path=xl/connections.xml><?xml version="1.0" encoding="utf-8"?>
<connections xmlns="http://schemas.openxmlformats.org/spreadsheetml/2006/main">
  <connection id="1" keepAlive="1" name="Query - Fact_table_clean" description="Connection to the 'Fact_table_clean' query in the workbook." type="5" refreshedVersion="6" background="1" saveData="1">
    <dbPr connection="Provider=Microsoft.Mashup.OleDb.1;Data Source=$Workbook$;Location=Fact_table_clean;Extended Properties=&quot;&quot;" command="SELECT * FROM [Fact_table_clean]"/>
  </connection>
</connections>
</file>

<file path=xl/sharedStrings.xml><?xml version="1.0" encoding="utf-8"?>
<sst xmlns="http://schemas.openxmlformats.org/spreadsheetml/2006/main" count="4897" uniqueCount="1211">
  <si>
    <t>loan_id</t>
  </si>
  <si>
    <t>borrower_id</t>
  </si>
  <si>
    <t>application_date</t>
  </si>
  <si>
    <t>loan_purpose</t>
  </si>
  <si>
    <t>loan_amount</t>
  </si>
  <si>
    <t>term_months</t>
  </si>
  <si>
    <t>interest_rate</t>
  </si>
  <si>
    <t>monthly_payment</t>
  </si>
  <si>
    <t>dti_ratio</t>
  </si>
  <si>
    <t>loan_status</t>
  </si>
  <si>
    <t>days_delinquent</t>
  </si>
  <si>
    <t>defaulted</t>
  </si>
  <si>
    <t>age</t>
  </si>
  <si>
    <t>state</t>
  </si>
  <si>
    <t>education_level</t>
  </si>
  <si>
    <t>employment_status</t>
  </si>
  <si>
    <t>years_employed</t>
  </si>
  <si>
    <t>annual_income</t>
  </si>
  <si>
    <t>credit_score</t>
  </si>
  <si>
    <t>home_ownership</t>
  </si>
  <si>
    <t>dependents</t>
  </si>
  <si>
    <t>existing_monthly_debt</t>
  </si>
  <si>
    <t>LN-00001</t>
  </si>
  <si>
    <t>BRW-0001</t>
  </si>
  <si>
    <t>Vacation</t>
  </si>
  <si>
    <t>Paid Off</t>
  </si>
  <si>
    <t>CT</t>
  </si>
  <si>
    <t>High School</t>
  </si>
  <si>
    <t>Self-Employed</t>
  </si>
  <si>
    <t>Rent</t>
  </si>
  <si>
    <t>LN-00002</t>
  </si>
  <si>
    <t>Major Purchase</t>
  </si>
  <si>
    <t>Default</t>
  </si>
  <si>
    <t>LN-00003</t>
  </si>
  <si>
    <t>BRW-0002</t>
  </si>
  <si>
    <t>Moving</t>
  </si>
  <si>
    <t>CO</t>
  </si>
  <si>
    <t>Full-Time</t>
  </si>
  <si>
    <t>Own</t>
  </si>
  <si>
    <t>LN-00004</t>
  </si>
  <si>
    <t>BRW-0003</t>
  </si>
  <si>
    <t>Auto Loan</t>
  </si>
  <si>
    <t>NC</t>
  </si>
  <si>
    <t>Bachelor</t>
  </si>
  <si>
    <t>Contract</t>
  </si>
  <si>
    <t>Mortgage</t>
  </si>
  <si>
    <t>LN-00005</t>
  </si>
  <si>
    <t>BRW-0004</t>
  </si>
  <si>
    <t>Current</t>
  </si>
  <si>
    <t>TX</t>
  </si>
  <si>
    <t>LN-00006</t>
  </si>
  <si>
    <t>BRW-0005</t>
  </si>
  <si>
    <t>Education</t>
  </si>
  <si>
    <t>NY</t>
  </si>
  <si>
    <t>LN-00007</t>
  </si>
  <si>
    <t>BRW-0006</t>
  </si>
  <si>
    <t>Medical Expenses</t>
  </si>
  <si>
    <t>OR</t>
  </si>
  <si>
    <t>Doctorate</t>
  </si>
  <si>
    <t>LN-00008</t>
  </si>
  <si>
    <t>BRW-0007</t>
  </si>
  <si>
    <t>Home Improvement</t>
  </si>
  <si>
    <t>GA</t>
  </si>
  <si>
    <t>LN-00009</t>
  </si>
  <si>
    <t>Business Loan</t>
  </si>
  <si>
    <t>LN-00010</t>
  </si>
  <si>
    <t>BRW-0008</t>
  </si>
  <si>
    <t>Debt Consolidation</t>
  </si>
  <si>
    <t>KY</t>
  </si>
  <si>
    <t>LN-00011</t>
  </si>
  <si>
    <t>BRW-0009</t>
  </si>
  <si>
    <t>UT</t>
  </si>
  <si>
    <t>Master</t>
  </si>
  <si>
    <t>Part-Time</t>
  </si>
  <si>
    <t>LN-00012</t>
  </si>
  <si>
    <t>LN-00013</t>
  </si>
  <si>
    <t>BRW-0010</t>
  </si>
  <si>
    <t>Wedding</t>
  </si>
  <si>
    <t>WA</t>
  </si>
  <si>
    <t>Associate</t>
  </si>
  <si>
    <t>LN-00014</t>
  </si>
  <si>
    <t>BRW-0011</t>
  </si>
  <si>
    <t>LN-00015</t>
  </si>
  <si>
    <t>BRW-0012</t>
  </si>
  <si>
    <t>FL</t>
  </si>
  <si>
    <t>Retired</t>
  </si>
  <si>
    <t>LN-00016</t>
  </si>
  <si>
    <t>LN-00017</t>
  </si>
  <si>
    <t>BRW-0013</t>
  </si>
  <si>
    <t>AL</t>
  </si>
  <si>
    <t>LN-00018</t>
  </si>
  <si>
    <t>LN-00019</t>
  </si>
  <si>
    <t>BRW-0014</t>
  </si>
  <si>
    <t>IN</t>
  </si>
  <si>
    <t>LN-00020</t>
  </si>
  <si>
    <t>BRW-0015</t>
  </si>
  <si>
    <t>CA</t>
  </si>
  <si>
    <t>LN-00021</t>
  </si>
  <si>
    <t>BRW-0016</t>
  </si>
  <si>
    <t>Late</t>
  </si>
  <si>
    <t>LN-00022</t>
  </si>
  <si>
    <t>BRW-0017</t>
  </si>
  <si>
    <t>AZ</t>
  </si>
  <si>
    <t>LN-00023</t>
  </si>
  <si>
    <t>BRW-0018</t>
  </si>
  <si>
    <t>MA</t>
  </si>
  <si>
    <t>LN-00024</t>
  </si>
  <si>
    <t>BRW-0019</t>
  </si>
  <si>
    <t>LN-00025</t>
  </si>
  <si>
    <t>BRW-0020</t>
  </si>
  <si>
    <t>LN-00026</t>
  </si>
  <si>
    <t>BRW-0021</t>
  </si>
  <si>
    <t>LN-00027</t>
  </si>
  <si>
    <t>LN-00028</t>
  </si>
  <si>
    <t>BRW-0022</t>
  </si>
  <si>
    <t>OH</t>
  </si>
  <si>
    <t>LN-00029</t>
  </si>
  <si>
    <t>LN-00030</t>
  </si>
  <si>
    <t>BRW-0023</t>
  </si>
  <si>
    <t>MO</t>
  </si>
  <si>
    <t>LN-00031</t>
  </si>
  <si>
    <t>LN-00032</t>
  </si>
  <si>
    <t>BRW-0024</t>
  </si>
  <si>
    <t>TN</t>
  </si>
  <si>
    <t>LN-00033</t>
  </si>
  <si>
    <t>BRW-0025</t>
  </si>
  <si>
    <t>LN-00034</t>
  </si>
  <si>
    <t>BRW-0026</t>
  </si>
  <si>
    <t>NJ</t>
  </si>
  <si>
    <t>LN-00035</t>
  </si>
  <si>
    <t>BRW-0027</t>
  </si>
  <si>
    <t>LN-00036</t>
  </si>
  <si>
    <t>BRW-0028</t>
  </si>
  <si>
    <t>LN-00037</t>
  </si>
  <si>
    <t>BRW-0029</t>
  </si>
  <si>
    <t>MN</t>
  </si>
  <si>
    <t>LN-00038</t>
  </si>
  <si>
    <t>BRW-0030</t>
  </si>
  <si>
    <t>LN-00039</t>
  </si>
  <si>
    <t>BRW-0031</t>
  </si>
  <si>
    <t>LN-00040</t>
  </si>
  <si>
    <t>BRW-0032</t>
  </si>
  <si>
    <t>LN-00041</t>
  </si>
  <si>
    <t>BRW-0033</t>
  </si>
  <si>
    <t>LN-00042</t>
  </si>
  <si>
    <t>BRW-0034</t>
  </si>
  <si>
    <t>LN-00043</t>
  </si>
  <si>
    <t>LN-00044</t>
  </si>
  <si>
    <t>BRW-0035</t>
  </si>
  <si>
    <t>VA</t>
  </si>
  <si>
    <t>LN-00045</t>
  </si>
  <si>
    <t>LN-00046</t>
  </si>
  <si>
    <t>BRW-0036</t>
  </si>
  <si>
    <t>LN-00047</t>
  </si>
  <si>
    <t>BRW-0037</t>
  </si>
  <si>
    <t>LN-00048</t>
  </si>
  <si>
    <t>BRW-0038</t>
  </si>
  <si>
    <t>LN-00049</t>
  </si>
  <si>
    <t>LN-00050</t>
  </si>
  <si>
    <t>BRW-0039</t>
  </si>
  <si>
    <t>LN-00051</t>
  </si>
  <si>
    <t>BRW-0040</t>
  </si>
  <si>
    <t>LN-00052</t>
  </si>
  <si>
    <t>BRW-0041</t>
  </si>
  <si>
    <t>LN-00053</t>
  </si>
  <si>
    <t>LN-00054</t>
  </si>
  <si>
    <t>BRW-0042</t>
  </si>
  <si>
    <t>MD</t>
  </si>
  <si>
    <t>LN-00055</t>
  </si>
  <si>
    <t>BRW-0043</t>
  </si>
  <si>
    <t>LN-00056</t>
  </si>
  <si>
    <t>BRW-0044</t>
  </si>
  <si>
    <t>SC</t>
  </si>
  <si>
    <t>LN-00057</t>
  </si>
  <si>
    <t>BRW-0045</t>
  </si>
  <si>
    <t>LN-00058</t>
  </si>
  <si>
    <t>BRW-0046</t>
  </si>
  <si>
    <t>LN-00059</t>
  </si>
  <si>
    <t>BRW-0047</t>
  </si>
  <si>
    <t>LA</t>
  </si>
  <si>
    <t>LN-00060</t>
  </si>
  <si>
    <t>BRW-0048</t>
  </si>
  <si>
    <t>LN-00061</t>
  </si>
  <si>
    <t>BRW-0049</t>
  </si>
  <si>
    <t>LN-00062</t>
  </si>
  <si>
    <t>BRW-0050</t>
  </si>
  <si>
    <t>LN-00063</t>
  </si>
  <si>
    <t>BRW-0051</t>
  </si>
  <si>
    <t>LN-00064</t>
  </si>
  <si>
    <t>BRW-0052</t>
  </si>
  <si>
    <t>LN-00065</t>
  </si>
  <si>
    <t>LN-00066</t>
  </si>
  <si>
    <t>BRW-0053</t>
  </si>
  <si>
    <t>LN-00067</t>
  </si>
  <si>
    <t>BRW-0054</t>
  </si>
  <si>
    <t>LN-00068</t>
  </si>
  <si>
    <t>BRW-0055</t>
  </si>
  <si>
    <t>LN-00069</t>
  </si>
  <si>
    <t>BRW-0056</t>
  </si>
  <si>
    <t>LN-00070</t>
  </si>
  <si>
    <t>BRW-0057</t>
  </si>
  <si>
    <t>LN-00071</t>
  </si>
  <si>
    <t>BRW-0058</t>
  </si>
  <si>
    <t>IL</t>
  </si>
  <si>
    <t>LN-00072</t>
  </si>
  <si>
    <t>LN-00073</t>
  </si>
  <si>
    <t>BRW-0059</t>
  </si>
  <si>
    <t>LN-00074</t>
  </si>
  <si>
    <t>BRW-0060</t>
  </si>
  <si>
    <t>LN-00075</t>
  </si>
  <si>
    <t>BRW-0061</t>
  </si>
  <si>
    <t>LN-00076</t>
  </si>
  <si>
    <t>BRW-0062</t>
  </si>
  <si>
    <t>PA</t>
  </si>
  <si>
    <t>LN-00077</t>
  </si>
  <si>
    <t>LN-00078</t>
  </si>
  <si>
    <t>BRW-0063</t>
  </si>
  <si>
    <t>LN-00079</t>
  </si>
  <si>
    <t>BRW-0064</t>
  </si>
  <si>
    <t>LN-00080</t>
  </si>
  <si>
    <t>BRW-0065</t>
  </si>
  <si>
    <t>LN-00081</t>
  </si>
  <si>
    <t>LN-00082</t>
  </si>
  <si>
    <t>BRW-0066</t>
  </si>
  <si>
    <t>LN-00083</t>
  </si>
  <si>
    <t>LN-00084</t>
  </si>
  <si>
    <t>BRW-0067</t>
  </si>
  <si>
    <t>LN-00085</t>
  </si>
  <si>
    <t>BRW-0068</t>
  </si>
  <si>
    <t>LN-00086</t>
  </si>
  <si>
    <t>BRW-0069</t>
  </si>
  <si>
    <t>LN-00087</t>
  </si>
  <si>
    <t>BRW-0070</t>
  </si>
  <si>
    <t>LN-00088</t>
  </si>
  <si>
    <t>LN-00089</t>
  </si>
  <si>
    <t>BRW-0071</t>
  </si>
  <si>
    <t>LN-00090</t>
  </si>
  <si>
    <t>LN-00091</t>
  </si>
  <si>
    <t>BRW-0072</t>
  </si>
  <si>
    <t>LN-00092</t>
  </si>
  <si>
    <t>BRW-0073</t>
  </si>
  <si>
    <t>LN-00093</t>
  </si>
  <si>
    <t>BRW-0074</t>
  </si>
  <si>
    <t>LN-00094</t>
  </si>
  <si>
    <t>BRW-0075</t>
  </si>
  <si>
    <t>LN-00095</t>
  </si>
  <si>
    <t>BRW-0076</t>
  </si>
  <si>
    <t>LN-00096</t>
  </si>
  <si>
    <t>BRW-0077</t>
  </si>
  <si>
    <t>LN-00097</t>
  </si>
  <si>
    <t>BRW-0078</t>
  </si>
  <si>
    <t>LN-00098</t>
  </si>
  <si>
    <t>BRW-0079</t>
  </si>
  <si>
    <t>LN-00099</t>
  </si>
  <si>
    <t>BRW-0080</t>
  </si>
  <si>
    <t>LN-00100</t>
  </si>
  <si>
    <t>LN-00101</t>
  </si>
  <si>
    <t>BRW-0081</t>
  </si>
  <si>
    <t>LN-00102</t>
  </si>
  <si>
    <t>BRW-0082</t>
  </si>
  <si>
    <t>LN-00103</t>
  </si>
  <si>
    <t>BRW-0083</t>
  </si>
  <si>
    <t>WI</t>
  </si>
  <si>
    <t>LN-00104</t>
  </si>
  <si>
    <t>BRW-0084</t>
  </si>
  <si>
    <t>LN-00105</t>
  </si>
  <si>
    <t>LN-00106</t>
  </si>
  <si>
    <t>BRW-0085</t>
  </si>
  <si>
    <t>LN-00107</t>
  </si>
  <si>
    <t>BRW-0086</t>
  </si>
  <si>
    <t>LN-00108</t>
  </si>
  <si>
    <t>BRW-0087</t>
  </si>
  <si>
    <t>LN-00109</t>
  </si>
  <si>
    <t>BRW-0088</t>
  </si>
  <si>
    <t>LN-00110</t>
  </si>
  <si>
    <t>BRW-0089</t>
  </si>
  <si>
    <t>LN-00111</t>
  </si>
  <si>
    <t>BRW-0090</t>
  </si>
  <si>
    <t>LN-00112</t>
  </si>
  <si>
    <t>BRW-0091</t>
  </si>
  <si>
    <t>LN-00113</t>
  </si>
  <si>
    <t>BRW-0092</t>
  </si>
  <si>
    <t>LN-00114</t>
  </si>
  <si>
    <t>LN-00115</t>
  </si>
  <si>
    <t>BRW-0093</t>
  </si>
  <si>
    <t>LN-00116</t>
  </si>
  <si>
    <t>BRW-0094</t>
  </si>
  <si>
    <t>LN-00117</t>
  </si>
  <si>
    <t>BRW-0095</t>
  </si>
  <si>
    <t>LN-00118</t>
  </si>
  <si>
    <t>LN-00119</t>
  </si>
  <si>
    <t>BRW-0096</t>
  </si>
  <si>
    <t>LN-00120</t>
  </si>
  <si>
    <t>BRW-0097</t>
  </si>
  <si>
    <t>LN-00121</t>
  </si>
  <si>
    <t>BRW-0098</t>
  </si>
  <si>
    <t>LN-00122</t>
  </si>
  <si>
    <t>BRW-0099</t>
  </si>
  <si>
    <t>LN-00123</t>
  </si>
  <si>
    <t>BRW-0100</t>
  </si>
  <si>
    <t>LN-00124</t>
  </si>
  <si>
    <t>BRW-0101</t>
  </si>
  <si>
    <t>LN-00125</t>
  </si>
  <si>
    <t>BRW-0102</t>
  </si>
  <si>
    <t>LN-00126</t>
  </si>
  <si>
    <t>BRW-0103</t>
  </si>
  <si>
    <t>LN-00127</t>
  </si>
  <si>
    <t>BRW-0104</t>
  </si>
  <si>
    <t>LN-00128</t>
  </si>
  <si>
    <t>LN-00129</t>
  </si>
  <si>
    <t>BRW-0105</t>
  </si>
  <si>
    <t>LN-00130</t>
  </si>
  <si>
    <t>BRW-0106</t>
  </si>
  <si>
    <t>LN-00131</t>
  </si>
  <si>
    <t>BRW-0107</t>
  </si>
  <si>
    <t>LN-00132</t>
  </si>
  <si>
    <t>BRW-0108</t>
  </si>
  <si>
    <t>LN-00133</t>
  </si>
  <si>
    <t>BRW-0109</t>
  </si>
  <si>
    <t>LN-00134</t>
  </si>
  <si>
    <t>BRW-0110</t>
  </si>
  <si>
    <t>LN-00135</t>
  </si>
  <si>
    <t>LN-00136</t>
  </si>
  <si>
    <t>BRW-0111</t>
  </si>
  <si>
    <t>LN-00137</t>
  </si>
  <si>
    <t>BRW-0112</t>
  </si>
  <si>
    <t>LN-00138</t>
  </si>
  <si>
    <t>LN-00139</t>
  </si>
  <si>
    <t>BRW-0113</t>
  </si>
  <si>
    <t>LN-00140</t>
  </si>
  <si>
    <t>BRW-0114</t>
  </si>
  <si>
    <t>LN-00141</t>
  </si>
  <si>
    <t>BRW-0115</t>
  </si>
  <si>
    <t>LN-00142</t>
  </si>
  <si>
    <t>LN-00143</t>
  </si>
  <si>
    <t>BRW-0116</t>
  </si>
  <si>
    <t>LN-00144</t>
  </si>
  <si>
    <t>BRW-0117</t>
  </si>
  <si>
    <t>LN-00145</t>
  </si>
  <si>
    <t>BRW-0118</t>
  </si>
  <si>
    <t>OK</t>
  </si>
  <si>
    <t>LN-00146</t>
  </si>
  <si>
    <t>BRW-0119</t>
  </si>
  <si>
    <t>LN-00147</t>
  </si>
  <si>
    <t>BRW-0120</t>
  </si>
  <si>
    <t>LN-00148</t>
  </si>
  <si>
    <t>BRW-0121</t>
  </si>
  <si>
    <t>LN-00149</t>
  </si>
  <si>
    <t>BRW-0122</t>
  </si>
  <si>
    <t>LN-00150</t>
  </si>
  <si>
    <t>BRW-0123</t>
  </si>
  <si>
    <t>LN-00151</t>
  </si>
  <si>
    <t>BRW-0124</t>
  </si>
  <si>
    <t>LN-00152</t>
  </si>
  <si>
    <t>BRW-0125</t>
  </si>
  <si>
    <t>LN-00153</t>
  </si>
  <si>
    <t>BRW-0126</t>
  </si>
  <si>
    <t>LN-00154</t>
  </si>
  <si>
    <t>BRW-0127</t>
  </si>
  <si>
    <t>LN-00155</t>
  </si>
  <si>
    <t>BRW-0128</t>
  </si>
  <si>
    <t>LN-00156</t>
  </si>
  <si>
    <t>BRW-0129</t>
  </si>
  <si>
    <t>LN-00157</t>
  </si>
  <si>
    <t>BRW-0130</t>
  </si>
  <si>
    <t>LN-00158</t>
  </si>
  <si>
    <t>BRW-0131</t>
  </si>
  <si>
    <t>LN-00159</t>
  </si>
  <si>
    <t>LN-00160</t>
  </si>
  <si>
    <t>BRW-0132</t>
  </si>
  <si>
    <t>LN-00161</t>
  </si>
  <si>
    <t>BRW-0133</t>
  </si>
  <si>
    <t>LN-00162</t>
  </si>
  <si>
    <t>LN-00163</t>
  </si>
  <si>
    <t>BRW-0134</t>
  </si>
  <si>
    <t>LN-00164</t>
  </si>
  <si>
    <t>BRW-0135</t>
  </si>
  <si>
    <t>LN-00165</t>
  </si>
  <si>
    <t>BRW-0136</t>
  </si>
  <si>
    <t>LN-00166</t>
  </si>
  <si>
    <t>LN-00167</t>
  </si>
  <si>
    <t>BRW-0137</t>
  </si>
  <si>
    <t>LN-00168</t>
  </si>
  <si>
    <t>BRW-0138</t>
  </si>
  <si>
    <t>LN-00169</t>
  </si>
  <si>
    <t>LN-00170</t>
  </si>
  <si>
    <t>BRW-0139</t>
  </si>
  <si>
    <t>LN-00171</t>
  </si>
  <si>
    <t>BRW-0140</t>
  </si>
  <si>
    <t>LN-00172</t>
  </si>
  <si>
    <t>BRW-0141</t>
  </si>
  <si>
    <t>LN-00173</t>
  </si>
  <si>
    <t>BRW-0142</t>
  </si>
  <si>
    <t>MI</t>
  </si>
  <si>
    <t>LN-00174</t>
  </si>
  <si>
    <t>LN-00175</t>
  </si>
  <si>
    <t>BRW-0143</t>
  </si>
  <si>
    <t>LN-00176</t>
  </si>
  <si>
    <t>BRW-0144</t>
  </si>
  <si>
    <t>LN-00177</t>
  </si>
  <si>
    <t>BRW-0145</t>
  </si>
  <si>
    <t>LN-00178</t>
  </si>
  <si>
    <t>BRW-0146</t>
  </si>
  <si>
    <t>LN-00179</t>
  </si>
  <si>
    <t>BRW-0147</t>
  </si>
  <si>
    <t>LN-00180</t>
  </si>
  <si>
    <t>BRW-0148</t>
  </si>
  <si>
    <t>LN-00181</t>
  </si>
  <si>
    <t>BRW-0149</t>
  </si>
  <si>
    <t>LN-00182</t>
  </si>
  <si>
    <t>BRW-0150</t>
  </si>
  <si>
    <t>LN-00183</t>
  </si>
  <si>
    <t>BRW-0151</t>
  </si>
  <si>
    <t>LN-00184</t>
  </si>
  <si>
    <t>BRW-0152</t>
  </si>
  <si>
    <t>LN-00185</t>
  </si>
  <si>
    <t>BRW-0153</t>
  </si>
  <si>
    <t>LN-00186</t>
  </si>
  <si>
    <t>BRW-0154</t>
  </si>
  <si>
    <t>LN-00187</t>
  </si>
  <si>
    <t>LN-00188</t>
  </si>
  <si>
    <t>BRW-0155</t>
  </si>
  <si>
    <t>LN-00189</t>
  </si>
  <si>
    <t>LN-00190</t>
  </si>
  <si>
    <t>BRW-0156</t>
  </si>
  <si>
    <t>LN-00191</t>
  </si>
  <si>
    <t>LN-00192</t>
  </si>
  <si>
    <t>BRW-0157</t>
  </si>
  <si>
    <t>LN-00193</t>
  </si>
  <si>
    <t>BRW-0158</t>
  </si>
  <si>
    <t>LN-00194</t>
  </si>
  <si>
    <t>BRW-0159</t>
  </si>
  <si>
    <t>LN-00195</t>
  </si>
  <si>
    <t>LN-00196</t>
  </si>
  <si>
    <t>BRW-0160</t>
  </si>
  <si>
    <t>LN-00197</t>
  </si>
  <si>
    <t>BRW-0161</t>
  </si>
  <si>
    <t>LN-00198</t>
  </si>
  <si>
    <t>BRW-0162</t>
  </si>
  <si>
    <t>LN-00199</t>
  </si>
  <si>
    <t>BRW-0163</t>
  </si>
  <si>
    <t>LN-00200</t>
  </si>
  <si>
    <t>BRW-0164</t>
  </si>
  <si>
    <t>LN-00201</t>
  </si>
  <si>
    <t>BRW-0165</t>
  </si>
  <si>
    <t>LN-00202</t>
  </si>
  <si>
    <t>BRW-0166</t>
  </si>
  <si>
    <t>LN-00203</t>
  </si>
  <si>
    <t>BRW-0167</t>
  </si>
  <si>
    <t>LN-00204</t>
  </si>
  <si>
    <t>BRW-0168</t>
  </si>
  <si>
    <t>LN-00205</t>
  </si>
  <si>
    <t>LN-00206</t>
  </si>
  <si>
    <t>BRW-0169</t>
  </si>
  <si>
    <t>LN-00207</t>
  </si>
  <si>
    <t>BRW-0170</t>
  </si>
  <si>
    <t>LN-00208</t>
  </si>
  <si>
    <t>BRW-0171</t>
  </si>
  <si>
    <t>LN-00209</t>
  </si>
  <si>
    <t>LN-00210</t>
  </si>
  <si>
    <t>BRW-0172</t>
  </si>
  <si>
    <t>LN-00211</t>
  </si>
  <si>
    <t>BRW-0173</t>
  </si>
  <si>
    <t>LN-00212</t>
  </si>
  <si>
    <t>BRW-0174</t>
  </si>
  <si>
    <t>LN-00213</t>
  </si>
  <si>
    <t>BRW-0175</t>
  </si>
  <si>
    <t>LN-00214</t>
  </si>
  <si>
    <t>BRW-0176</t>
  </si>
  <si>
    <t>LN-00215</t>
  </si>
  <si>
    <t>BRW-0177</t>
  </si>
  <si>
    <t>LN-00216</t>
  </si>
  <si>
    <t>BRW-0178</t>
  </si>
  <si>
    <t>LN-00217</t>
  </si>
  <si>
    <t>BRW-0179</t>
  </si>
  <si>
    <t>LN-00218</t>
  </si>
  <si>
    <t>LN-00219</t>
  </si>
  <si>
    <t>BRW-0180</t>
  </si>
  <si>
    <t>LN-00220</t>
  </si>
  <si>
    <t>BRW-0181</t>
  </si>
  <si>
    <t>LN-00221</t>
  </si>
  <si>
    <t>BRW-0182</t>
  </si>
  <si>
    <t>LN-00222</t>
  </si>
  <si>
    <t>LN-00223</t>
  </si>
  <si>
    <t>BRW-0183</t>
  </si>
  <si>
    <t>LN-00224</t>
  </si>
  <si>
    <t>LN-00225</t>
  </si>
  <si>
    <t>BRW-0184</t>
  </si>
  <si>
    <t>LN-00226</t>
  </si>
  <si>
    <t>BRW-0185</t>
  </si>
  <si>
    <t>LN-00227</t>
  </si>
  <si>
    <t>BRW-0186</t>
  </si>
  <si>
    <t>LN-00228</t>
  </si>
  <si>
    <t>BRW-0187</t>
  </si>
  <si>
    <t>LN-00229</t>
  </si>
  <si>
    <t>BRW-0188</t>
  </si>
  <si>
    <t>LN-00230</t>
  </si>
  <si>
    <t>BRW-0189</t>
  </si>
  <si>
    <t>LN-00231</t>
  </si>
  <si>
    <t>BRW-0190</t>
  </si>
  <si>
    <t>LN-00232</t>
  </si>
  <si>
    <t>BRW-0191</t>
  </si>
  <si>
    <t>LN-00233</t>
  </si>
  <si>
    <t>BRW-0192</t>
  </si>
  <si>
    <t>LN-00234</t>
  </si>
  <si>
    <t>BRW-0193</t>
  </si>
  <si>
    <t>LN-00235</t>
  </si>
  <si>
    <t>BRW-0194</t>
  </si>
  <si>
    <t>LN-00236</t>
  </si>
  <si>
    <t>LN-00237</t>
  </si>
  <si>
    <t>BRW-0195</t>
  </si>
  <si>
    <t>LN-00238</t>
  </si>
  <si>
    <t>BRW-0196</t>
  </si>
  <si>
    <t>LN-00239</t>
  </si>
  <si>
    <t>BRW-0197</t>
  </si>
  <si>
    <t>LN-00240</t>
  </si>
  <si>
    <t>BRW-0198</t>
  </si>
  <si>
    <t>LN-00241</t>
  </si>
  <si>
    <t>BRW-0199</t>
  </si>
  <si>
    <t>LN-00242</t>
  </si>
  <si>
    <t>BRW-0200</t>
  </si>
  <si>
    <t>LN-00243</t>
  </si>
  <si>
    <t>BRW-0201</t>
  </si>
  <si>
    <t>LN-00244</t>
  </si>
  <si>
    <t>LN-00245</t>
  </si>
  <si>
    <t>BRW-0202</t>
  </si>
  <si>
    <t>LN-00246</t>
  </si>
  <si>
    <t>BRW-0203</t>
  </si>
  <si>
    <t>LN-00247</t>
  </si>
  <si>
    <t>BRW-0204</t>
  </si>
  <si>
    <t>LN-00248</t>
  </si>
  <si>
    <t>LN-00249</t>
  </si>
  <si>
    <t>BRW-0205</t>
  </si>
  <si>
    <t>LN-00250</t>
  </si>
  <si>
    <t>BRW-0206</t>
  </si>
  <si>
    <t>LN-00251</t>
  </si>
  <si>
    <t>LN-00252</t>
  </si>
  <si>
    <t>BRW-0207</t>
  </si>
  <si>
    <t>LN-00253</t>
  </si>
  <si>
    <t>BRW-0208</t>
  </si>
  <si>
    <t>LN-00254</t>
  </si>
  <si>
    <t>LN-00255</t>
  </si>
  <si>
    <t>BRW-0209</t>
  </si>
  <si>
    <t>LN-00256</t>
  </si>
  <si>
    <t>BRW-0210</t>
  </si>
  <si>
    <t>LN-00257</t>
  </si>
  <si>
    <t>BRW-0211</t>
  </si>
  <si>
    <t>LN-00258</t>
  </si>
  <si>
    <t>BRW-0212</t>
  </si>
  <si>
    <t>LN-00259</t>
  </si>
  <si>
    <t>LN-00260</t>
  </si>
  <si>
    <t>BRW-0213</t>
  </si>
  <si>
    <t>LN-00261</t>
  </si>
  <si>
    <t>BRW-0214</t>
  </si>
  <si>
    <t>LN-00262</t>
  </si>
  <si>
    <t>BRW-0215</t>
  </si>
  <si>
    <t>LN-00263</t>
  </si>
  <si>
    <t>BRW-0216</t>
  </si>
  <si>
    <t>LN-00264</t>
  </si>
  <si>
    <t>BRW-0217</t>
  </si>
  <si>
    <t>LN-00265</t>
  </si>
  <si>
    <t>BRW-0218</t>
  </si>
  <si>
    <t>LN-00266</t>
  </si>
  <si>
    <t>BRW-0219</t>
  </si>
  <si>
    <t>LN-00267</t>
  </si>
  <si>
    <t>BRW-0220</t>
  </si>
  <si>
    <t>LN-00268</t>
  </si>
  <si>
    <t>LN-00269</t>
  </si>
  <si>
    <t>BRW-0221</t>
  </si>
  <si>
    <t>LN-00270</t>
  </si>
  <si>
    <t>BRW-0222</t>
  </si>
  <si>
    <t>LN-00271</t>
  </si>
  <si>
    <t>BRW-0223</t>
  </si>
  <si>
    <t>LN-00272</t>
  </si>
  <si>
    <t>BRW-0224</t>
  </si>
  <si>
    <t>LN-00273</t>
  </si>
  <si>
    <t>BRW-0225</t>
  </si>
  <si>
    <t>LN-00274</t>
  </si>
  <si>
    <t>BRW-0226</t>
  </si>
  <si>
    <t>LN-00275</t>
  </si>
  <si>
    <t>BRW-0227</t>
  </si>
  <si>
    <t>LN-00276</t>
  </si>
  <si>
    <t>BRW-0228</t>
  </si>
  <si>
    <t>LN-00277</t>
  </si>
  <si>
    <t>BRW-0229</t>
  </si>
  <si>
    <t>LN-00278</t>
  </si>
  <si>
    <t>LN-00279</t>
  </si>
  <si>
    <t>BRW-0230</t>
  </si>
  <si>
    <t>LN-00280</t>
  </si>
  <si>
    <t>BRW-0231</t>
  </si>
  <si>
    <t>LN-00281</t>
  </si>
  <si>
    <t>BRW-0232</t>
  </si>
  <si>
    <t>LN-00282</t>
  </si>
  <si>
    <t>BRW-0233</t>
  </si>
  <si>
    <t>LN-00283</t>
  </si>
  <si>
    <t>BRW-0234</t>
  </si>
  <si>
    <t>LN-00284</t>
  </si>
  <si>
    <t>BRW-0235</t>
  </si>
  <si>
    <t>LN-00285</t>
  </si>
  <si>
    <t>BRW-0236</t>
  </si>
  <si>
    <t>LN-00286</t>
  </si>
  <si>
    <t>BRW-0237</t>
  </si>
  <si>
    <t>LN-00287</t>
  </si>
  <si>
    <t>BRW-0238</t>
  </si>
  <si>
    <t>LN-00288</t>
  </si>
  <si>
    <t>BRW-0239</t>
  </si>
  <si>
    <t>LN-00289</t>
  </si>
  <si>
    <t>LN-00290</t>
  </si>
  <si>
    <t>BRW-0240</t>
  </si>
  <si>
    <t>LN-00291</t>
  </si>
  <si>
    <t>LN-00292</t>
  </si>
  <si>
    <t>BRW-0241</t>
  </si>
  <si>
    <t>LN-00293</t>
  </si>
  <si>
    <t>BRW-0242</t>
  </si>
  <si>
    <t>LN-00294</t>
  </si>
  <si>
    <t>BRW-0243</t>
  </si>
  <si>
    <t>LN-00295</t>
  </si>
  <si>
    <t>BRW-0244</t>
  </si>
  <si>
    <t>LN-00296</t>
  </si>
  <si>
    <t>BRW-0245</t>
  </si>
  <si>
    <t>LN-00297</t>
  </si>
  <si>
    <t>BRW-0246</t>
  </si>
  <si>
    <t>LN-00298</t>
  </si>
  <si>
    <t>LN-00299</t>
  </si>
  <si>
    <t>BRW-0247</t>
  </si>
  <si>
    <t>LN-00300</t>
  </si>
  <si>
    <t>BRW-0248</t>
  </si>
  <si>
    <t>LN-00301</t>
  </si>
  <si>
    <t>BRW-0249</t>
  </si>
  <si>
    <t>LN-00302</t>
  </si>
  <si>
    <t>BRW-0250</t>
  </si>
  <si>
    <t>LN-00303</t>
  </si>
  <si>
    <t>BRW-0251</t>
  </si>
  <si>
    <t>LN-00304</t>
  </si>
  <si>
    <t>LN-00305</t>
  </si>
  <si>
    <t>BRW-0252</t>
  </si>
  <si>
    <t>LN-00306</t>
  </si>
  <si>
    <t>BRW-0253</t>
  </si>
  <si>
    <t>LN-00307</t>
  </si>
  <si>
    <t>BRW-0254</t>
  </si>
  <si>
    <t>LN-00308</t>
  </si>
  <si>
    <t>BRW-0255</t>
  </si>
  <si>
    <t>LN-00309</t>
  </si>
  <si>
    <t>BRW-0256</t>
  </si>
  <si>
    <t>LN-00310</t>
  </si>
  <si>
    <t>BRW-0257</t>
  </si>
  <si>
    <t>LN-00311</t>
  </si>
  <si>
    <t>BRW-0258</t>
  </si>
  <si>
    <t>LN-00312</t>
  </si>
  <si>
    <t>LN-00313</t>
  </si>
  <si>
    <t>BRW-0259</t>
  </si>
  <si>
    <t>LN-00314</t>
  </si>
  <si>
    <t>BRW-0260</t>
  </si>
  <si>
    <t>LN-00315</t>
  </si>
  <si>
    <t>BRW-0261</t>
  </si>
  <si>
    <t>LN-00316</t>
  </si>
  <si>
    <t>BRW-0262</t>
  </si>
  <si>
    <t>LN-00317</t>
  </si>
  <si>
    <t>BRW-0263</t>
  </si>
  <si>
    <t>LN-00318</t>
  </si>
  <si>
    <t>LN-00319</t>
  </si>
  <si>
    <t>BRW-0264</t>
  </si>
  <si>
    <t>LN-00320</t>
  </si>
  <si>
    <t>LN-00321</t>
  </si>
  <si>
    <t>BRW-0265</t>
  </si>
  <si>
    <t>LN-00322</t>
  </si>
  <si>
    <t>BRW-0266</t>
  </si>
  <si>
    <t>LN-00323</t>
  </si>
  <si>
    <t>BRW-0267</t>
  </si>
  <si>
    <t>LN-00324</t>
  </si>
  <si>
    <t>LN-00325</t>
  </si>
  <si>
    <t>BRW-0268</t>
  </si>
  <si>
    <t>LN-00326</t>
  </si>
  <si>
    <t>LN-00327</t>
  </si>
  <si>
    <t>BRW-0269</t>
  </si>
  <si>
    <t>LN-00328</t>
  </si>
  <si>
    <t>BRW-0270</t>
  </si>
  <si>
    <t>LN-00329</t>
  </si>
  <si>
    <t>BRW-0271</t>
  </si>
  <si>
    <t>LN-00330</t>
  </si>
  <si>
    <t>BRW-0272</t>
  </si>
  <si>
    <t>LN-00331</t>
  </si>
  <si>
    <t>BRW-0273</t>
  </si>
  <si>
    <t>LN-00332</t>
  </si>
  <si>
    <t>BRW-0274</t>
  </si>
  <si>
    <t>LN-00333</t>
  </si>
  <si>
    <t>BRW-0275</t>
  </si>
  <si>
    <t>LN-00334</t>
  </si>
  <si>
    <t>BRW-0276</t>
  </si>
  <si>
    <t>LN-00335</t>
  </si>
  <si>
    <t>BRW-0277</t>
  </si>
  <si>
    <t>LN-00336</t>
  </si>
  <si>
    <t>BRW-0278</t>
  </si>
  <si>
    <t>LN-00337</t>
  </si>
  <si>
    <t>BRW-0279</t>
  </si>
  <si>
    <t>LN-00338</t>
  </si>
  <si>
    <t>BRW-0280</t>
  </si>
  <si>
    <t>LN-00339</t>
  </si>
  <si>
    <t>BRW-0281</t>
  </si>
  <si>
    <t>LN-00340</t>
  </si>
  <si>
    <t>BRW-0282</t>
  </si>
  <si>
    <t>LN-00341</t>
  </si>
  <si>
    <t>LN-00342</t>
  </si>
  <si>
    <t>BRW-0283</t>
  </si>
  <si>
    <t>LN-00343</t>
  </si>
  <si>
    <t>LN-00344</t>
  </si>
  <si>
    <t>BRW-0284</t>
  </si>
  <si>
    <t>LN-00345</t>
  </si>
  <si>
    <t>BRW-0285</t>
  </si>
  <si>
    <t>LN-00346</t>
  </si>
  <si>
    <t>BRW-0286</t>
  </si>
  <si>
    <t>LN-00347</t>
  </si>
  <si>
    <t>BRW-0287</t>
  </si>
  <si>
    <t>LN-00348</t>
  </si>
  <si>
    <t>BRW-0288</t>
  </si>
  <si>
    <t>LN-00349</t>
  </si>
  <si>
    <t>BRW-0289</t>
  </si>
  <si>
    <t>LN-00350</t>
  </si>
  <si>
    <t>BRW-0290</t>
  </si>
  <si>
    <t>LN-00351</t>
  </si>
  <si>
    <t>BRW-0291</t>
  </si>
  <si>
    <t>LN-00352</t>
  </si>
  <si>
    <t>BRW-0292</t>
  </si>
  <si>
    <t>LN-00353</t>
  </si>
  <si>
    <t>BRW-0293</t>
  </si>
  <si>
    <t>LN-00354</t>
  </si>
  <si>
    <t>LN-00355</t>
  </si>
  <si>
    <t>BRW-0294</t>
  </si>
  <si>
    <t>LN-00356</t>
  </si>
  <si>
    <t>BRW-0295</t>
  </si>
  <si>
    <t>LN-00357</t>
  </si>
  <si>
    <t>BRW-0296</t>
  </si>
  <si>
    <t>LN-00358</t>
  </si>
  <si>
    <t>BRW-0297</t>
  </si>
  <si>
    <t>LN-00359</t>
  </si>
  <si>
    <t>LN-00360</t>
  </si>
  <si>
    <t>BRW-0298</t>
  </si>
  <si>
    <t>LN-00361</t>
  </si>
  <si>
    <t>BRW-0299</t>
  </si>
  <si>
    <t>LN-00362</t>
  </si>
  <si>
    <t>BRW-0300</t>
  </si>
  <si>
    <t>LN-00363</t>
  </si>
  <si>
    <t>LN-00364</t>
  </si>
  <si>
    <t>BRW-0301</t>
  </si>
  <si>
    <t>LN-00365</t>
  </si>
  <si>
    <t>LN-00366</t>
  </si>
  <si>
    <t>BRW-0302</t>
  </si>
  <si>
    <t>LN-00367</t>
  </si>
  <si>
    <t>BRW-0303</t>
  </si>
  <si>
    <t>LN-00368</t>
  </si>
  <si>
    <t>LN-00369</t>
  </si>
  <si>
    <t>BRW-0304</t>
  </si>
  <si>
    <t>LN-00370</t>
  </si>
  <si>
    <t>BRW-0305</t>
  </si>
  <si>
    <t>LN-00371</t>
  </si>
  <si>
    <t>BRW-0306</t>
  </si>
  <si>
    <t>LN-00372</t>
  </si>
  <si>
    <t>BRW-0307</t>
  </si>
  <si>
    <t>LN-00373</t>
  </si>
  <si>
    <t>BRW-0308</t>
  </si>
  <si>
    <t>LN-00374</t>
  </si>
  <si>
    <t>BRW-0309</t>
  </si>
  <si>
    <t>LN-00375</t>
  </si>
  <si>
    <t>BRW-0310</t>
  </si>
  <si>
    <t>LN-00376</t>
  </si>
  <si>
    <t>BRW-0311</t>
  </si>
  <si>
    <t>LN-00377</t>
  </si>
  <si>
    <t>BRW-0312</t>
  </si>
  <si>
    <t>LN-00378</t>
  </si>
  <si>
    <t>BRW-0313</t>
  </si>
  <si>
    <t>LN-00379</t>
  </si>
  <si>
    <t>BRW-0314</t>
  </si>
  <si>
    <t>LN-00380</t>
  </si>
  <si>
    <t>BRW-0315</t>
  </si>
  <si>
    <t>LN-00381</t>
  </si>
  <si>
    <t>BRW-0316</t>
  </si>
  <si>
    <t>LN-00382</t>
  </si>
  <si>
    <t>BRW-0317</t>
  </si>
  <si>
    <t>LN-00383</t>
  </si>
  <si>
    <t>BRW-0318</t>
  </si>
  <si>
    <t>LN-00384</t>
  </si>
  <si>
    <t>BRW-0319</t>
  </si>
  <si>
    <t>LN-00385</t>
  </si>
  <si>
    <t>BRW-0320</t>
  </si>
  <si>
    <t>LN-00386</t>
  </si>
  <si>
    <t>LN-00387</t>
  </si>
  <si>
    <t>BRW-0321</t>
  </si>
  <si>
    <t>LN-00388</t>
  </si>
  <si>
    <t>BRW-0322</t>
  </si>
  <si>
    <t>LN-00389</t>
  </si>
  <si>
    <t>LN-00390</t>
  </si>
  <si>
    <t>BRW-0323</t>
  </si>
  <si>
    <t>LN-00391</t>
  </si>
  <si>
    <t>BRW-0324</t>
  </si>
  <si>
    <t>LN-00392</t>
  </si>
  <si>
    <t>BRW-0325</t>
  </si>
  <si>
    <t>LN-00393</t>
  </si>
  <si>
    <t>BRW-0326</t>
  </si>
  <si>
    <t>LN-00394</t>
  </si>
  <si>
    <t>BRW-0327</t>
  </si>
  <si>
    <t>LN-00395</t>
  </si>
  <si>
    <t>BRW-0328</t>
  </si>
  <si>
    <t>LN-00396</t>
  </si>
  <si>
    <t>LN-00397</t>
  </si>
  <si>
    <t>BRW-0329</t>
  </si>
  <si>
    <t>LN-00398</t>
  </si>
  <si>
    <t>BRW-0330</t>
  </si>
  <si>
    <t>LN-00399</t>
  </si>
  <si>
    <t>BRW-0331</t>
  </si>
  <si>
    <t>LN-00400</t>
  </si>
  <si>
    <t>BRW-0332</t>
  </si>
  <si>
    <t>LN-00401</t>
  </si>
  <si>
    <t>BRW-0333</t>
  </si>
  <si>
    <t>LN-00402</t>
  </si>
  <si>
    <t>BRW-0334</t>
  </si>
  <si>
    <t>LN-00403</t>
  </si>
  <si>
    <t>BRW-0335</t>
  </si>
  <si>
    <t>LN-00404</t>
  </si>
  <si>
    <t>BRW-0336</t>
  </si>
  <si>
    <t>LN-00405</t>
  </si>
  <si>
    <t>BRW-0337</t>
  </si>
  <si>
    <t>LN-00406</t>
  </si>
  <si>
    <t>BRW-0338</t>
  </si>
  <si>
    <t>LN-00407</t>
  </si>
  <si>
    <t>LN-00408</t>
  </si>
  <si>
    <t>BRW-0339</t>
  </si>
  <si>
    <t>LN-00409</t>
  </si>
  <si>
    <t>LN-00410</t>
  </si>
  <si>
    <t>BRW-0340</t>
  </si>
  <si>
    <t>LN-00411</t>
  </si>
  <si>
    <t>BRW-0341</t>
  </si>
  <si>
    <t>LN-00412</t>
  </si>
  <si>
    <t>BRW-0342</t>
  </si>
  <si>
    <t>LN-00413</t>
  </si>
  <si>
    <t>BRW-0343</t>
  </si>
  <si>
    <t>LN-00414</t>
  </si>
  <si>
    <t>BRW-0344</t>
  </si>
  <si>
    <t>LN-00415</t>
  </si>
  <si>
    <t>BRW-0345</t>
  </si>
  <si>
    <t>LN-00416</t>
  </si>
  <si>
    <t>BRW-0346</t>
  </si>
  <si>
    <t>LN-00417</t>
  </si>
  <si>
    <t>LN-00418</t>
  </si>
  <si>
    <t>BRW-0347</t>
  </si>
  <si>
    <t>LN-00419</t>
  </si>
  <si>
    <t>BRW-0348</t>
  </si>
  <si>
    <t>LN-00420</t>
  </si>
  <si>
    <t>BRW-0349</t>
  </si>
  <si>
    <t>LN-00421</t>
  </si>
  <si>
    <t>BRW-0350</t>
  </si>
  <si>
    <t>LN-00422</t>
  </si>
  <si>
    <t>BRW-0351</t>
  </si>
  <si>
    <t>LN-00423</t>
  </si>
  <si>
    <t>LN-00424</t>
  </si>
  <si>
    <t>BRW-0352</t>
  </si>
  <si>
    <t>LN-00425</t>
  </si>
  <si>
    <t>BRW-0353</t>
  </si>
  <si>
    <t>LN-00426</t>
  </si>
  <si>
    <t>BRW-0354</t>
  </si>
  <si>
    <t>LN-00427</t>
  </si>
  <si>
    <t>BRW-0355</t>
  </si>
  <si>
    <t>LN-00428</t>
  </si>
  <si>
    <t>BRW-0356</t>
  </si>
  <si>
    <t>LN-00429</t>
  </si>
  <si>
    <t>BRW-0357</t>
  </si>
  <si>
    <t>LN-00430</t>
  </si>
  <si>
    <t>BRW-0358</t>
  </si>
  <si>
    <t>LN-00431</t>
  </si>
  <si>
    <t>BRW-0359</t>
  </si>
  <si>
    <t>LN-00432</t>
  </si>
  <si>
    <t>BRW-0360</t>
  </si>
  <si>
    <t>LN-00433</t>
  </si>
  <si>
    <t>BRW-0361</t>
  </si>
  <si>
    <t>LN-00434</t>
  </si>
  <si>
    <t>LN-00435</t>
  </si>
  <si>
    <t>BRW-0362</t>
  </si>
  <si>
    <t>LN-00436</t>
  </si>
  <si>
    <t>BRW-0363</t>
  </si>
  <si>
    <t>LN-00437</t>
  </si>
  <si>
    <t>BRW-0364</t>
  </si>
  <si>
    <t>LN-00438</t>
  </si>
  <si>
    <t>BRW-0365</t>
  </si>
  <si>
    <t>LN-00439</t>
  </si>
  <si>
    <t>BRW-0366</t>
  </si>
  <si>
    <t>LN-00440</t>
  </si>
  <si>
    <t>BRW-0367</t>
  </si>
  <si>
    <t>LN-00441</t>
  </si>
  <si>
    <t>BRW-0368</t>
  </si>
  <si>
    <t>LN-00442</t>
  </si>
  <si>
    <t>LN-00443</t>
  </si>
  <si>
    <t>BRW-0369</t>
  </si>
  <si>
    <t>LN-00444</t>
  </si>
  <si>
    <t>BRW-0370</t>
  </si>
  <si>
    <t>LN-00445</t>
  </si>
  <si>
    <t>BRW-0371</t>
  </si>
  <si>
    <t>LN-00446</t>
  </si>
  <si>
    <t>BRW-0372</t>
  </si>
  <si>
    <t>LN-00447</t>
  </si>
  <si>
    <t>BRW-0373</t>
  </si>
  <si>
    <t>LN-00448</t>
  </si>
  <si>
    <t>BRW-0374</t>
  </si>
  <si>
    <t>LN-00449</t>
  </si>
  <si>
    <t>LN-00450</t>
  </si>
  <si>
    <t>BRW-0375</t>
  </si>
  <si>
    <t>LN-00451</t>
  </si>
  <si>
    <t>LN-00452</t>
  </si>
  <si>
    <t>BRW-0376</t>
  </si>
  <si>
    <t>LN-00453</t>
  </si>
  <si>
    <t>LN-00454</t>
  </si>
  <si>
    <t>BRW-0377</t>
  </si>
  <si>
    <t>LN-00455</t>
  </si>
  <si>
    <t>BRW-0378</t>
  </si>
  <si>
    <t>LN-00456</t>
  </si>
  <si>
    <t>BRW-0379</t>
  </si>
  <si>
    <t>LN-00457</t>
  </si>
  <si>
    <t>BRW-0380</t>
  </si>
  <si>
    <t>LN-00458</t>
  </si>
  <si>
    <t>BRW-0381</t>
  </si>
  <si>
    <t>LN-00459</t>
  </si>
  <si>
    <t>BRW-0382</t>
  </si>
  <si>
    <t>LN-00460</t>
  </si>
  <si>
    <t>BRW-0383</t>
  </si>
  <si>
    <t>LN-00461</t>
  </si>
  <si>
    <t>BRW-0384</t>
  </si>
  <si>
    <t>LN-00462</t>
  </si>
  <si>
    <t>BRW-0385</t>
  </si>
  <si>
    <t>LN-00463</t>
  </si>
  <si>
    <t>BRW-0386</t>
  </si>
  <si>
    <t>LN-00464</t>
  </si>
  <si>
    <t>BRW-0387</t>
  </si>
  <si>
    <t>LN-00465</t>
  </si>
  <si>
    <t>BRW-0388</t>
  </si>
  <si>
    <t>LN-00466</t>
  </si>
  <si>
    <t>LN-00467</t>
  </si>
  <si>
    <t>BRW-0389</t>
  </si>
  <si>
    <t>LN-00468</t>
  </si>
  <si>
    <t>BRW-0390</t>
  </si>
  <si>
    <t>LN-00469</t>
  </si>
  <si>
    <t>BRW-0391</t>
  </si>
  <si>
    <t>LN-00470</t>
  </si>
  <si>
    <t>BRW-0392</t>
  </si>
  <si>
    <t>LN-00471</t>
  </si>
  <si>
    <t>BRW-0393</t>
  </si>
  <si>
    <t>LN-00472</t>
  </si>
  <si>
    <t>BRW-0394</t>
  </si>
  <si>
    <t>LN-00473</t>
  </si>
  <si>
    <t>LN-00474</t>
  </si>
  <si>
    <t>BRW-0395</t>
  </si>
  <si>
    <t>LN-00475</t>
  </si>
  <si>
    <t>BRW-0396</t>
  </si>
  <si>
    <t>LN-00476</t>
  </si>
  <si>
    <t>BRW-0397</t>
  </si>
  <si>
    <t>LN-00477</t>
  </si>
  <si>
    <t>BRW-0398</t>
  </si>
  <si>
    <t>LN-00478</t>
  </si>
  <si>
    <t>BRW-0399</t>
  </si>
  <si>
    <t>LN-00479</t>
  </si>
  <si>
    <t>BRW-0400</t>
  </si>
  <si>
    <t>LN-00480</t>
  </si>
  <si>
    <t>LN-00481</t>
  </si>
  <si>
    <t>BRW-0401</t>
  </si>
  <si>
    <t>LN-00482</t>
  </si>
  <si>
    <t>BRW-0402</t>
  </si>
  <si>
    <t>LN-00483</t>
  </si>
  <si>
    <t>BRW-0403</t>
  </si>
  <si>
    <t>LN-00484</t>
  </si>
  <si>
    <t>BRW-0404</t>
  </si>
  <si>
    <t>LN-00485</t>
  </si>
  <si>
    <t>BRW-0405</t>
  </si>
  <si>
    <t>LN-00486</t>
  </si>
  <si>
    <t>BRW-0406</t>
  </si>
  <si>
    <t>LN-00487</t>
  </si>
  <si>
    <t>LN-00488</t>
  </si>
  <si>
    <t>BRW-0407</t>
  </si>
  <si>
    <t>LN-00489</t>
  </si>
  <si>
    <t>BRW-0408</t>
  </si>
  <si>
    <t>LN-00490</t>
  </si>
  <si>
    <t>BRW-0409</t>
  </si>
  <si>
    <t>LN-00491</t>
  </si>
  <si>
    <t>BRW-0410</t>
  </si>
  <si>
    <t>LN-00492</t>
  </si>
  <si>
    <t>BRW-0411</t>
  </si>
  <si>
    <t>LN-00493</t>
  </si>
  <si>
    <t>BRW-0412</t>
  </si>
  <si>
    <t>LN-00494</t>
  </si>
  <si>
    <t>BRW-0413</t>
  </si>
  <si>
    <t>LN-00495</t>
  </si>
  <si>
    <t>BRW-0414</t>
  </si>
  <si>
    <t>LN-00496</t>
  </si>
  <si>
    <t>BRW-0415</t>
  </si>
  <si>
    <t>LN-00497</t>
  </si>
  <si>
    <t>LN-00498</t>
  </si>
  <si>
    <t>BRW-0416</t>
  </si>
  <si>
    <t>LN-00499</t>
  </si>
  <si>
    <t>BRW-0417</t>
  </si>
  <si>
    <t>LN-00500</t>
  </si>
  <si>
    <t>BRW-0418</t>
  </si>
  <si>
    <t>LN-00501</t>
  </si>
  <si>
    <t>BRW-0419</t>
  </si>
  <si>
    <t>LN-00502</t>
  </si>
  <si>
    <t>BRW-0420</t>
  </si>
  <si>
    <t>LN-00503</t>
  </si>
  <si>
    <t>LN-00504</t>
  </si>
  <si>
    <t>BRW-0421</t>
  </si>
  <si>
    <t>LN-00505</t>
  </si>
  <si>
    <t>BRW-0422</t>
  </si>
  <si>
    <t>LN-00506</t>
  </si>
  <si>
    <t>LN-00507</t>
  </si>
  <si>
    <t>BRW-0423</t>
  </si>
  <si>
    <t>LN-00508</t>
  </si>
  <si>
    <t>BRW-0424</t>
  </si>
  <si>
    <t>LN-00509</t>
  </si>
  <si>
    <t>BRW-0425</t>
  </si>
  <si>
    <t>LN-00510</t>
  </si>
  <si>
    <t>BRW-0426</t>
  </si>
  <si>
    <t>LN-00511</t>
  </si>
  <si>
    <t>LN-00512</t>
  </si>
  <si>
    <t>BRW-0427</t>
  </si>
  <si>
    <t>LN-00513</t>
  </si>
  <si>
    <t>BRW-0428</t>
  </si>
  <si>
    <t>LN-00514</t>
  </si>
  <si>
    <t>BRW-0429</t>
  </si>
  <si>
    <t>LN-00515</t>
  </si>
  <si>
    <t>BRW-0430</t>
  </si>
  <si>
    <t>LN-00516</t>
  </si>
  <si>
    <t>BRW-0431</t>
  </si>
  <si>
    <t>LN-00517</t>
  </si>
  <si>
    <t>LN-00518</t>
  </si>
  <si>
    <t>BRW-0432</t>
  </si>
  <si>
    <t>LN-00519</t>
  </si>
  <si>
    <t>BRW-0433</t>
  </si>
  <si>
    <t>LN-00520</t>
  </si>
  <si>
    <t>LN-00521</t>
  </si>
  <si>
    <t>BRW-0434</t>
  </si>
  <si>
    <t>LN-00522</t>
  </si>
  <si>
    <t>BRW-0435</t>
  </si>
  <si>
    <t>LN-00523</t>
  </si>
  <si>
    <t>BRW-0436</t>
  </si>
  <si>
    <t>LN-00524</t>
  </si>
  <si>
    <t>BRW-0437</t>
  </si>
  <si>
    <t>LN-00525</t>
  </si>
  <si>
    <t>BRW-0438</t>
  </si>
  <si>
    <t>LN-00526</t>
  </si>
  <si>
    <t>BRW-0439</t>
  </si>
  <si>
    <t>LN-00527</t>
  </si>
  <si>
    <t>BRW-0440</t>
  </si>
  <si>
    <t>LN-00528</t>
  </si>
  <si>
    <t>BRW-0441</t>
  </si>
  <si>
    <t>LN-00529</t>
  </si>
  <si>
    <t>BRW-0442</t>
  </si>
  <si>
    <t>LN-00530</t>
  </si>
  <si>
    <t>BRW-0443</t>
  </si>
  <si>
    <t>LN-00531</t>
  </si>
  <si>
    <t>BRW-0444</t>
  </si>
  <si>
    <t>LN-00532</t>
  </si>
  <si>
    <t>BRW-0445</t>
  </si>
  <si>
    <t>LN-00533</t>
  </si>
  <si>
    <t>BRW-0446</t>
  </si>
  <si>
    <t>LN-00534</t>
  </si>
  <si>
    <t>LN-00535</t>
  </si>
  <si>
    <t>BRW-0447</t>
  </si>
  <si>
    <t>LN-00536</t>
  </si>
  <si>
    <t>BRW-0448</t>
  </si>
  <si>
    <t>LN-00537</t>
  </si>
  <si>
    <t>BRW-0449</t>
  </si>
  <si>
    <t>LN-00538</t>
  </si>
  <si>
    <t>BRW-0450</t>
  </si>
  <si>
    <t>LN-00539</t>
  </si>
  <si>
    <t>BRW-0451</t>
  </si>
  <si>
    <t>LN-00540</t>
  </si>
  <si>
    <t>BRW-0452</t>
  </si>
  <si>
    <t>LN-00541</t>
  </si>
  <si>
    <t>BRW-0453</t>
  </si>
  <si>
    <t>LN-00542</t>
  </si>
  <si>
    <t>LN-00543</t>
  </si>
  <si>
    <t>BRW-0454</t>
  </si>
  <si>
    <t>LN-00544</t>
  </si>
  <si>
    <t>BRW-0455</t>
  </si>
  <si>
    <t>LN-00545</t>
  </si>
  <si>
    <t>BRW-0456</t>
  </si>
  <si>
    <t>LN-00546</t>
  </si>
  <si>
    <t>LN-00547</t>
  </si>
  <si>
    <t>BRW-0457</t>
  </si>
  <si>
    <t>LN-00548</t>
  </si>
  <si>
    <t>BRW-0458</t>
  </si>
  <si>
    <t>LN-00549</t>
  </si>
  <si>
    <t>BRW-0459</t>
  </si>
  <si>
    <t>LN-00550</t>
  </si>
  <si>
    <t>BRW-0460</t>
  </si>
  <si>
    <t>LN-00551</t>
  </si>
  <si>
    <t>BRW-0461</t>
  </si>
  <si>
    <t>LN-00552</t>
  </si>
  <si>
    <t>BRW-0462</t>
  </si>
  <si>
    <t>LN-00553</t>
  </si>
  <si>
    <t>BRW-0463</t>
  </si>
  <si>
    <t>LN-00554</t>
  </si>
  <si>
    <t>LN-00555</t>
  </si>
  <si>
    <t>BRW-0464</t>
  </si>
  <si>
    <t>LN-00556</t>
  </si>
  <si>
    <t>BRW-0465</t>
  </si>
  <si>
    <t>LN-00557</t>
  </si>
  <si>
    <t>LN-00558</t>
  </si>
  <si>
    <t>BRW-0466</t>
  </si>
  <si>
    <t>LN-00559</t>
  </si>
  <si>
    <t>BRW-0467</t>
  </si>
  <si>
    <t>LN-00560</t>
  </si>
  <si>
    <t>BRW-0468</t>
  </si>
  <si>
    <t>LN-00561</t>
  </si>
  <si>
    <t>LN-00562</t>
  </si>
  <si>
    <t>BRW-0469</t>
  </si>
  <si>
    <t>LN-00563</t>
  </si>
  <si>
    <t>LN-00564</t>
  </si>
  <si>
    <t>BRW-0470</t>
  </si>
  <si>
    <t>LN-00565</t>
  </si>
  <si>
    <t>BRW-0471</t>
  </si>
  <si>
    <t>LN-00566</t>
  </si>
  <si>
    <t>LN-00567</t>
  </si>
  <si>
    <t>BRW-0472</t>
  </si>
  <si>
    <t>LN-00568</t>
  </si>
  <si>
    <t>LN-00569</t>
  </si>
  <si>
    <t>BRW-0473</t>
  </si>
  <si>
    <t>LN-00570</t>
  </si>
  <si>
    <t>BRW-0474</t>
  </si>
  <si>
    <t>LN-00571</t>
  </si>
  <si>
    <t>BRW-0475</t>
  </si>
  <si>
    <t>LN-00572</t>
  </si>
  <si>
    <t>BRW-0476</t>
  </si>
  <si>
    <t>LN-00573</t>
  </si>
  <si>
    <t>BRW-0477</t>
  </si>
  <si>
    <t>LN-00574</t>
  </si>
  <si>
    <t>BRW-0478</t>
  </si>
  <si>
    <t>LN-00575</t>
  </si>
  <si>
    <t>BRW-0479</t>
  </si>
  <si>
    <t>LN-00576</t>
  </si>
  <si>
    <t>BRW-0480</t>
  </si>
  <si>
    <t>LN-00577</t>
  </si>
  <si>
    <t>BRW-0481</t>
  </si>
  <si>
    <t>LN-00578</t>
  </si>
  <si>
    <t>BRW-0482</t>
  </si>
  <si>
    <t>LN-00579</t>
  </si>
  <si>
    <t>BRW-0483</t>
  </si>
  <si>
    <t>LN-00580</t>
  </si>
  <si>
    <t>BRW-0484</t>
  </si>
  <si>
    <t>LN-00581</t>
  </si>
  <si>
    <t>LN-00582</t>
  </si>
  <si>
    <t>BRW-0485</t>
  </si>
  <si>
    <t>LN-00583</t>
  </si>
  <si>
    <t>BRW-0486</t>
  </si>
  <si>
    <t>LN-00584</t>
  </si>
  <si>
    <t>BRW-0487</t>
  </si>
  <si>
    <t>LN-00585</t>
  </si>
  <si>
    <t>LN-00586</t>
  </si>
  <si>
    <t>BRW-0488</t>
  </si>
  <si>
    <t>LN-00587</t>
  </si>
  <si>
    <t>LN-00588</t>
  </si>
  <si>
    <t>BRW-0489</t>
  </si>
  <si>
    <t>LN-00589</t>
  </si>
  <si>
    <t>BRW-0490</t>
  </si>
  <si>
    <t>LN-00590</t>
  </si>
  <si>
    <t>BRW-0491</t>
  </si>
  <si>
    <t>LN-00591</t>
  </si>
  <si>
    <t>BRW-0492</t>
  </si>
  <si>
    <t>LN-00592</t>
  </si>
  <si>
    <t>BRW-0493</t>
  </si>
  <si>
    <t>LN-00593</t>
  </si>
  <si>
    <t>BRW-0494</t>
  </si>
  <si>
    <t>LN-00594</t>
  </si>
  <si>
    <t>BRW-0495</t>
  </si>
  <si>
    <t>LN-00595</t>
  </si>
  <si>
    <t>BRW-0496</t>
  </si>
  <si>
    <t>LN-00596</t>
  </si>
  <si>
    <t>BRW-0497</t>
  </si>
  <si>
    <t>LN-00597</t>
  </si>
  <si>
    <t>LN-00598</t>
  </si>
  <si>
    <t>BRW-0498</t>
  </si>
  <si>
    <t>LN-00599</t>
  </si>
  <si>
    <t>BRW-0499</t>
  </si>
  <si>
    <t>LN-00600</t>
  </si>
  <si>
    <t>BRW-0500</t>
  </si>
  <si>
    <t>LN-00601</t>
  </si>
  <si>
    <t>Credit_score_bucket</t>
  </si>
  <si>
    <t>DTI_Ratio_Buckets</t>
  </si>
  <si>
    <t>Loan_Purpose_bucket</t>
  </si>
  <si>
    <t>Row Labels</t>
  </si>
  <si>
    <t>Grand Total</t>
  </si>
  <si>
    <t>Column Labels</t>
  </si>
  <si>
    <t>Sum of defaulted</t>
  </si>
  <si>
    <t>Total Sum of defaulted</t>
  </si>
  <si>
    <t>Total Count of loan_id</t>
  </si>
  <si>
    <t>Count of loan_id</t>
  </si>
  <si>
    <t>%of defaulted Based on Credit Score</t>
  </si>
  <si>
    <t>Critical (&gt;75%)</t>
  </si>
  <si>
    <t>High (51-75%)</t>
  </si>
  <si>
    <t>Low (&lt;=35%)</t>
  </si>
  <si>
    <t>Manageable (36-50%)</t>
  </si>
  <si>
    <t>%of defaulted Based on DTI_Ratio_Buckets</t>
  </si>
  <si>
    <t>Employment_Status_bucket</t>
  </si>
  <si>
    <t>Employed</t>
  </si>
  <si>
    <t>%of defaulted Based on Employment Status</t>
  </si>
  <si>
    <t>Consumer &amp; Personal</t>
  </si>
  <si>
    <t>Debt &amp; Assets</t>
  </si>
  <si>
    <t>Investment &amp; Growth</t>
  </si>
  <si>
    <t>%of defaulted Based on Loan_Purpose_bucket</t>
  </si>
  <si>
    <t>Data Visualization</t>
  </si>
  <si>
    <t>.</t>
  </si>
  <si>
    <t>520-599</t>
  </si>
  <si>
    <t>600-649</t>
  </si>
  <si>
    <t>700-749</t>
  </si>
  <si>
    <t>750+</t>
  </si>
  <si>
    <t>650-699</t>
  </si>
  <si>
    <t>Average of loan_amount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</si>
</sst>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0" fontId="4" fillId="0" borderId="0" xfId="0" applyNumberFormat="1" applyFont="1"/>
    <xf numFmtId="0" fontId="5" fillId="0" borderId="0" xfId="0" applyNumberFormat="1" applyFont="1"/>
    <xf numFmtId="14" fontId="5" fillId="0" borderId="0" xfId="0" applyNumberFormat="1" applyFont="1"/>
    <xf numFmtId="0" fontId="5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2" fillId="2" borderId="0" xfId="0" applyNumberFormat="1" applyFont="1" applyFill="1"/>
    <xf numFmtId="0" fontId="2" fillId="2" borderId="0" xfId="0" applyFont="1" applyFill="1"/>
    <xf numFmtId="0" fontId="0" fillId="3" borderId="0" xfId="0" applyFill="1"/>
    <xf numFmtId="0" fontId="1" fillId="5" borderId="0" xfId="0" applyFont="1" applyFill="1"/>
    <xf numFmtId="2" fontId="1" fillId="5" borderId="0" xfId="0" applyNumberFormat="1" applyFont="1" applyFill="1"/>
    <xf numFmtId="0" fontId="1" fillId="4" borderId="0" xfId="0" applyFont="1" applyFill="1"/>
    <xf numFmtId="2" fontId="1" fillId="4" borderId="0" xfId="0" applyNumberFormat="1" applyFont="1" applyFill="1"/>
    <xf numFmtId="2" fontId="0" fillId="3" borderId="0" xfId="0" applyNumberFormat="1" applyFill="1"/>
    <xf numFmtId="0" fontId="3" fillId="0" borderId="0" xfId="0" applyFont="1"/>
    <xf numFmtId="2" fontId="3" fillId="0" borderId="0" xfId="0" applyNumberFormat="1" applyFont="1"/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34"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which Credit score more likely</a:t>
            </a:r>
            <a:r>
              <a:rPr lang="en-GB" baseline="0"/>
              <a:t> to default ?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DF-448F-8D20-F398E625DC8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FD-4FE2-80FE-2F1C0105A0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Analysis'!$I$6:$I$10</c:f>
              <c:strCache>
                <c:ptCount val="5"/>
                <c:pt idx="0">
                  <c:v>520-599</c:v>
                </c:pt>
                <c:pt idx="1">
                  <c:v>600-649</c:v>
                </c:pt>
                <c:pt idx="2">
                  <c:v>700-749</c:v>
                </c:pt>
                <c:pt idx="3">
                  <c:v>750+</c:v>
                </c:pt>
                <c:pt idx="4">
                  <c:v>650-699</c:v>
                </c:pt>
              </c:strCache>
            </c:strRef>
          </c:cat>
          <c:val>
            <c:numRef>
              <c:f>'Segment Analysis'!$J$6:$J$10</c:f>
              <c:numCache>
                <c:formatCode>0.00</c:formatCode>
                <c:ptCount val="5"/>
                <c:pt idx="0">
                  <c:v>49.137931034482754</c:v>
                </c:pt>
                <c:pt idx="1">
                  <c:v>29.032258064516132</c:v>
                </c:pt>
                <c:pt idx="2">
                  <c:v>16.279069767441861</c:v>
                </c:pt>
                <c:pt idx="3">
                  <c:v>11.688311688311687</c:v>
                </c:pt>
                <c:pt idx="4">
                  <c:v>28.000000000000004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D-4FE2-80FE-2F1C0105A0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2715408"/>
        <c:axId val="842719152"/>
      </c:barChart>
      <c:catAx>
        <c:axId val="84271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19152"/>
        <c:crosses val="autoZero"/>
        <c:auto val="1"/>
        <c:lblAlgn val="ctr"/>
        <c:lblOffset val="100"/>
        <c:noMultiLvlLbl val="0"/>
      </c:catAx>
      <c:valAx>
        <c:axId val="84271915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1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Dti vs Default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Data!$L$1</c:f>
              <c:strCache>
                <c:ptCount val="1"/>
                <c:pt idx="0">
                  <c:v>defaulted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Data!$I$2:$I$602</c:f>
              <c:numCache>
                <c:formatCode>General</c:formatCode>
                <c:ptCount val="601"/>
                <c:pt idx="0">
                  <c:v>55.5</c:v>
                </c:pt>
                <c:pt idx="1">
                  <c:v>40.4</c:v>
                </c:pt>
                <c:pt idx="2">
                  <c:v>70.5</c:v>
                </c:pt>
                <c:pt idx="3">
                  <c:v>59.8</c:v>
                </c:pt>
                <c:pt idx="4">
                  <c:v>44.1</c:v>
                </c:pt>
                <c:pt idx="5">
                  <c:v>37.1</c:v>
                </c:pt>
                <c:pt idx="6">
                  <c:v>49.9</c:v>
                </c:pt>
                <c:pt idx="7">
                  <c:v>38.200000000000003</c:v>
                </c:pt>
                <c:pt idx="8">
                  <c:v>36.799999999999997</c:v>
                </c:pt>
                <c:pt idx="9">
                  <c:v>67.8</c:v>
                </c:pt>
                <c:pt idx="10">
                  <c:v>18.600000000000001</c:v>
                </c:pt>
                <c:pt idx="11">
                  <c:v>13.5</c:v>
                </c:pt>
                <c:pt idx="12">
                  <c:v>126</c:v>
                </c:pt>
                <c:pt idx="13">
                  <c:v>63.6</c:v>
                </c:pt>
                <c:pt idx="14">
                  <c:v>48.3</c:v>
                </c:pt>
                <c:pt idx="15">
                  <c:v>44.5</c:v>
                </c:pt>
                <c:pt idx="16">
                  <c:v>18.8</c:v>
                </c:pt>
                <c:pt idx="17">
                  <c:v>30.1</c:v>
                </c:pt>
                <c:pt idx="18">
                  <c:v>41.4</c:v>
                </c:pt>
                <c:pt idx="19">
                  <c:v>52.5</c:v>
                </c:pt>
                <c:pt idx="20">
                  <c:v>88.1</c:v>
                </c:pt>
                <c:pt idx="21">
                  <c:v>69.400000000000006</c:v>
                </c:pt>
                <c:pt idx="22">
                  <c:v>18.899999999999999</c:v>
                </c:pt>
                <c:pt idx="23">
                  <c:v>112.8</c:v>
                </c:pt>
                <c:pt idx="24">
                  <c:v>62.4</c:v>
                </c:pt>
                <c:pt idx="25">
                  <c:v>60</c:v>
                </c:pt>
                <c:pt idx="26">
                  <c:v>51.7</c:v>
                </c:pt>
                <c:pt idx="27">
                  <c:v>29.2</c:v>
                </c:pt>
                <c:pt idx="28">
                  <c:v>25.9</c:v>
                </c:pt>
                <c:pt idx="29">
                  <c:v>87.7</c:v>
                </c:pt>
                <c:pt idx="30">
                  <c:v>54.1</c:v>
                </c:pt>
                <c:pt idx="31">
                  <c:v>47.5</c:v>
                </c:pt>
                <c:pt idx="32">
                  <c:v>58.9</c:v>
                </c:pt>
                <c:pt idx="33">
                  <c:v>58.7</c:v>
                </c:pt>
                <c:pt idx="34">
                  <c:v>53.8</c:v>
                </c:pt>
                <c:pt idx="35">
                  <c:v>65.3</c:v>
                </c:pt>
                <c:pt idx="36">
                  <c:v>29.3</c:v>
                </c:pt>
                <c:pt idx="37">
                  <c:v>77.2</c:v>
                </c:pt>
                <c:pt idx="38">
                  <c:v>42.1</c:v>
                </c:pt>
                <c:pt idx="39">
                  <c:v>37.5</c:v>
                </c:pt>
                <c:pt idx="40">
                  <c:v>58.8</c:v>
                </c:pt>
                <c:pt idx="41">
                  <c:v>30.9</c:v>
                </c:pt>
                <c:pt idx="42">
                  <c:v>36.799999999999997</c:v>
                </c:pt>
                <c:pt idx="43">
                  <c:v>18.399999999999999</c:v>
                </c:pt>
                <c:pt idx="44">
                  <c:v>79.599999999999994</c:v>
                </c:pt>
                <c:pt idx="45">
                  <c:v>32.200000000000003</c:v>
                </c:pt>
                <c:pt idx="46">
                  <c:v>93.8</c:v>
                </c:pt>
                <c:pt idx="47">
                  <c:v>29.4</c:v>
                </c:pt>
                <c:pt idx="48">
                  <c:v>36.5</c:v>
                </c:pt>
                <c:pt idx="49">
                  <c:v>26.2</c:v>
                </c:pt>
                <c:pt idx="50">
                  <c:v>65.400000000000006</c:v>
                </c:pt>
                <c:pt idx="51">
                  <c:v>39.299999999999997</c:v>
                </c:pt>
                <c:pt idx="52">
                  <c:v>39.1</c:v>
                </c:pt>
                <c:pt idx="53">
                  <c:v>10.9</c:v>
                </c:pt>
                <c:pt idx="54">
                  <c:v>41.3</c:v>
                </c:pt>
                <c:pt idx="55">
                  <c:v>31.5</c:v>
                </c:pt>
                <c:pt idx="56">
                  <c:v>7.6</c:v>
                </c:pt>
                <c:pt idx="57">
                  <c:v>38.700000000000003</c:v>
                </c:pt>
                <c:pt idx="58">
                  <c:v>28.8</c:v>
                </c:pt>
                <c:pt idx="59">
                  <c:v>64.900000000000006</c:v>
                </c:pt>
                <c:pt idx="60">
                  <c:v>53</c:v>
                </c:pt>
                <c:pt idx="61">
                  <c:v>13</c:v>
                </c:pt>
                <c:pt idx="62">
                  <c:v>53.3</c:v>
                </c:pt>
                <c:pt idx="63">
                  <c:v>43.4</c:v>
                </c:pt>
                <c:pt idx="64">
                  <c:v>48.8</c:v>
                </c:pt>
                <c:pt idx="65">
                  <c:v>18.600000000000001</c:v>
                </c:pt>
                <c:pt idx="66">
                  <c:v>72.599999999999994</c:v>
                </c:pt>
                <c:pt idx="67">
                  <c:v>14.8</c:v>
                </c:pt>
                <c:pt idx="68">
                  <c:v>63.1</c:v>
                </c:pt>
                <c:pt idx="69">
                  <c:v>27.8</c:v>
                </c:pt>
                <c:pt idx="70">
                  <c:v>36.299999999999997</c:v>
                </c:pt>
                <c:pt idx="71">
                  <c:v>17.7</c:v>
                </c:pt>
                <c:pt idx="72">
                  <c:v>52</c:v>
                </c:pt>
                <c:pt idx="73">
                  <c:v>10.5</c:v>
                </c:pt>
                <c:pt idx="74">
                  <c:v>67.2</c:v>
                </c:pt>
                <c:pt idx="75">
                  <c:v>53.2</c:v>
                </c:pt>
                <c:pt idx="76">
                  <c:v>12.6</c:v>
                </c:pt>
                <c:pt idx="77">
                  <c:v>47.9</c:v>
                </c:pt>
                <c:pt idx="78">
                  <c:v>36</c:v>
                </c:pt>
                <c:pt idx="79">
                  <c:v>86.4</c:v>
                </c:pt>
                <c:pt idx="80">
                  <c:v>83.8</c:v>
                </c:pt>
                <c:pt idx="81">
                  <c:v>76.900000000000006</c:v>
                </c:pt>
                <c:pt idx="82">
                  <c:v>118.6</c:v>
                </c:pt>
                <c:pt idx="83">
                  <c:v>40</c:v>
                </c:pt>
                <c:pt idx="84">
                  <c:v>51.2</c:v>
                </c:pt>
                <c:pt idx="85">
                  <c:v>39.700000000000003</c:v>
                </c:pt>
                <c:pt idx="86">
                  <c:v>27.5</c:v>
                </c:pt>
                <c:pt idx="87">
                  <c:v>37.6</c:v>
                </c:pt>
                <c:pt idx="88">
                  <c:v>56.6</c:v>
                </c:pt>
                <c:pt idx="89">
                  <c:v>36.200000000000003</c:v>
                </c:pt>
                <c:pt idx="90">
                  <c:v>70.400000000000006</c:v>
                </c:pt>
                <c:pt idx="91">
                  <c:v>29.3</c:v>
                </c:pt>
                <c:pt idx="92">
                  <c:v>74.900000000000006</c:v>
                </c:pt>
                <c:pt idx="93">
                  <c:v>56.7</c:v>
                </c:pt>
                <c:pt idx="94">
                  <c:v>21.1</c:v>
                </c:pt>
                <c:pt idx="95">
                  <c:v>45.4</c:v>
                </c:pt>
                <c:pt idx="96">
                  <c:v>92.5</c:v>
                </c:pt>
                <c:pt idx="97">
                  <c:v>37.799999999999997</c:v>
                </c:pt>
                <c:pt idx="98">
                  <c:v>58.2</c:v>
                </c:pt>
                <c:pt idx="99">
                  <c:v>51.4</c:v>
                </c:pt>
                <c:pt idx="100">
                  <c:v>59.3</c:v>
                </c:pt>
                <c:pt idx="101">
                  <c:v>51.6</c:v>
                </c:pt>
                <c:pt idx="102">
                  <c:v>18.7</c:v>
                </c:pt>
                <c:pt idx="103">
                  <c:v>41.2</c:v>
                </c:pt>
                <c:pt idx="104">
                  <c:v>80.2</c:v>
                </c:pt>
                <c:pt idx="105">
                  <c:v>63.7</c:v>
                </c:pt>
                <c:pt idx="106">
                  <c:v>33.299999999999997</c:v>
                </c:pt>
                <c:pt idx="107">
                  <c:v>29.3</c:v>
                </c:pt>
                <c:pt idx="108">
                  <c:v>45.9</c:v>
                </c:pt>
                <c:pt idx="109">
                  <c:v>26.5</c:v>
                </c:pt>
                <c:pt idx="110">
                  <c:v>32.200000000000003</c:v>
                </c:pt>
                <c:pt idx="111">
                  <c:v>94.1</c:v>
                </c:pt>
                <c:pt idx="112">
                  <c:v>65.599999999999994</c:v>
                </c:pt>
                <c:pt idx="113">
                  <c:v>142.30000000000001</c:v>
                </c:pt>
                <c:pt idx="114">
                  <c:v>65.2</c:v>
                </c:pt>
                <c:pt idx="115">
                  <c:v>80.8</c:v>
                </c:pt>
                <c:pt idx="116">
                  <c:v>32.200000000000003</c:v>
                </c:pt>
                <c:pt idx="117">
                  <c:v>32.6</c:v>
                </c:pt>
                <c:pt idx="118">
                  <c:v>61.8</c:v>
                </c:pt>
                <c:pt idx="119">
                  <c:v>68.099999999999994</c:v>
                </c:pt>
                <c:pt idx="120">
                  <c:v>72.8</c:v>
                </c:pt>
                <c:pt idx="121">
                  <c:v>42.6</c:v>
                </c:pt>
                <c:pt idx="122">
                  <c:v>49.3</c:v>
                </c:pt>
                <c:pt idx="123">
                  <c:v>52.7</c:v>
                </c:pt>
                <c:pt idx="124">
                  <c:v>88.9</c:v>
                </c:pt>
                <c:pt idx="125">
                  <c:v>65.900000000000006</c:v>
                </c:pt>
                <c:pt idx="126">
                  <c:v>50.9</c:v>
                </c:pt>
                <c:pt idx="127">
                  <c:v>66.8</c:v>
                </c:pt>
                <c:pt idx="128">
                  <c:v>45.3</c:v>
                </c:pt>
                <c:pt idx="129">
                  <c:v>32.6</c:v>
                </c:pt>
                <c:pt idx="130">
                  <c:v>49.5</c:v>
                </c:pt>
                <c:pt idx="131">
                  <c:v>32.4</c:v>
                </c:pt>
                <c:pt idx="132">
                  <c:v>38</c:v>
                </c:pt>
                <c:pt idx="133">
                  <c:v>13.5</c:v>
                </c:pt>
                <c:pt idx="134">
                  <c:v>18.7</c:v>
                </c:pt>
                <c:pt idx="135">
                  <c:v>57.1</c:v>
                </c:pt>
                <c:pt idx="136">
                  <c:v>59.5</c:v>
                </c:pt>
                <c:pt idx="137">
                  <c:v>59.3</c:v>
                </c:pt>
                <c:pt idx="138">
                  <c:v>29.9</c:v>
                </c:pt>
                <c:pt idx="139">
                  <c:v>73.400000000000006</c:v>
                </c:pt>
                <c:pt idx="140">
                  <c:v>25.1</c:v>
                </c:pt>
                <c:pt idx="141">
                  <c:v>14.2</c:v>
                </c:pt>
                <c:pt idx="142">
                  <c:v>56.4</c:v>
                </c:pt>
                <c:pt idx="143">
                  <c:v>39.299999999999997</c:v>
                </c:pt>
                <c:pt idx="144">
                  <c:v>8.8000000000000007</c:v>
                </c:pt>
                <c:pt idx="145">
                  <c:v>41.1</c:v>
                </c:pt>
                <c:pt idx="146">
                  <c:v>33.200000000000003</c:v>
                </c:pt>
                <c:pt idx="147">
                  <c:v>31.9</c:v>
                </c:pt>
                <c:pt idx="148">
                  <c:v>49.3</c:v>
                </c:pt>
                <c:pt idx="149">
                  <c:v>27.6</c:v>
                </c:pt>
                <c:pt idx="150">
                  <c:v>35</c:v>
                </c:pt>
                <c:pt idx="151">
                  <c:v>38.200000000000003</c:v>
                </c:pt>
                <c:pt idx="152">
                  <c:v>98.6</c:v>
                </c:pt>
                <c:pt idx="153">
                  <c:v>100.5</c:v>
                </c:pt>
                <c:pt idx="154">
                  <c:v>21</c:v>
                </c:pt>
                <c:pt idx="155">
                  <c:v>50.5</c:v>
                </c:pt>
                <c:pt idx="156">
                  <c:v>59.5</c:v>
                </c:pt>
                <c:pt idx="157">
                  <c:v>63.7</c:v>
                </c:pt>
                <c:pt idx="158">
                  <c:v>19.8</c:v>
                </c:pt>
                <c:pt idx="159">
                  <c:v>63</c:v>
                </c:pt>
                <c:pt idx="160">
                  <c:v>19.100000000000001</c:v>
                </c:pt>
                <c:pt idx="161">
                  <c:v>32</c:v>
                </c:pt>
                <c:pt idx="162">
                  <c:v>31.3</c:v>
                </c:pt>
                <c:pt idx="163">
                  <c:v>30.1</c:v>
                </c:pt>
                <c:pt idx="164">
                  <c:v>30.1</c:v>
                </c:pt>
                <c:pt idx="165">
                  <c:v>24.6</c:v>
                </c:pt>
                <c:pt idx="166">
                  <c:v>13.3</c:v>
                </c:pt>
                <c:pt idx="167">
                  <c:v>71.5</c:v>
                </c:pt>
                <c:pt idx="168">
                  <c:v>61.3</c:v>
                </c:pt>
                <c:pt idx="169">
                  <c:v>45.8</c:v>
                </c:pt>
                <c:pt idx="170">
                  <c:v>64.900000000000006</c:v>
                </c:pt>
                <c:pt idx="171">
                  <c:v>29.5</c:v>
                </c:pt>
                <c:pt idx="172">
                  <c:v>49.7</c:v>
                </c:pt>
                <c:pt idx="173">
                  <c:v>58.1</c:v>
                </c:pt>
                <c:pt idx="174">
                  <c:v>21.6</c:v>
                </c:pt>
                <c:pt idx="175">
                  <c:v>26.5</c:v>
                </c:pt>
                <c:pt idx="176">
                  <c:v>32.6</c:v>
                </c:pt>
                <c:pt idx="177">
                  <c:v>31.1</c:v>
                </c:pt>
                <c:pt idx="178">
                  <c:v>25.8</c:v>
                </c:pt>
                <c:pt idx="179">
                  <c:v>96.8</c:v>
                </c:pt>
                <c:pt idx="180">
                  <c:v>10.5</c:v>
                </c:pt>
                <c:pt idx="181">
                  <c:v>58.6</c:v>
                </c:pt>
                <c:pt idx="182">
                  <c:v>26.5</c:v>
                </c:pt>
                <c:pt idx="183">
                  <c:v>64.8</c:v>
                </c:pt>
                <c:pt idx="184">
                  <c:v>103.5</c:v>
                </c:pt>
                <c:pt idx="185">
                  <c:v>54.3</c:v>
                </c:pt>
                <c:pt idx="186">
                  <c:v>32.9</c:v>
                </c:pt>
                <c:pt idx="187">
                  <c:v>114.2</c:v>
                </c:pt>
                <c:pt idx="188">
                  <c:v>65.8</c:v>
                </c:pt>
                <c:pt idx="189">
                  <c:v>32.5</c:v>
                </c:pt>
                <c:pt idx="190">
                  <c:v>41</c:v>
                </c:pt>
                <c:pt idx="191">
                  <c:v>57.9</c:v>
                </c:pt>
                <c:pt idx="192">
                  <c:v>60.9</c:v>
                </c:pt>
                <c:pt idx="193">
                  <c:v>61.1</c:v>
                </c:pt>
                <c:pt idx="194">
                  <c:v>60.4</c:v>
                </c:pt>
                <c:pt idx="195">
                  <c:v>56.2</c:v>
                </c:pt>
                <c:pt idx="196">
                  <c:v>56.1</c:v>
                </c:pt>
                <c:pt idx="197">
                  <c:v>29.2</c:v>
                </c:pt>
                <c:pt idx="198">
                  <c:v>71.099999999999994</c:v>
                </c:pt>
                <c:pt idx="199">
                  <c:v>27.9</c:v>
                </c:pt>
                <c:pt idx="200">
                  <c:v>65.099999999999994</c:v>
                </c:pt>
                <c:pt idx="201">
                  <c:v>50.9</c:v>
                </c:pt>
                <c:pt idx="202">
                  <c:v>67</c:v>
                </c:pt>
                <c:pt idx="203">
                  <c:v>33.299999999999997</c:v>
                </c:pt>
                <c:pt idx="204">
                  <c:v>25.3</c:v>
                </c:pt>
                <c:pt idx="205">
                  <c:v>39.5</c:v>
                </c:pt>
                <c:pt idx="206">
                  <c:v>32.299999999999997</c:v>
                </c:pt>
                <c:pt idx="207">
                  <c:v>56.6</c:v>
                </c:pt>
                <c:pt idx="208">
                  <c:v>54</c:v>
                </c:pt>
                <c:pt idx="209">
                  <c:v>36.299999999999997</c:v>
                </c:pt>
                <c:pt idx="210">
                  <c:v>23.8</c:v>
                </c:pt>
                <c:pt idx="211">
                  <c:v>90.3</c:v>
                </c:pt>
                <c:pt idx="212">
                  <c:v>33.700000000000003</c:v>
                </c:pt>
                <c:pt idx="213">
                  <c:v>56.3</c:v>
                </c:pt>
                <c:pt idx="214">
                  <c:v>70.5</c:v>
                </c:pt>
                <c:pt idx="215">
                  <c:v>64.8</c:v>
                </c:pt>
                <c:pt idx="216">
                  <c:v>31.5</c:v>
                </c:pt>
                <c:pt idx="217">
                  <c:v>46.7</c:v>
                </c:pt>
                <c:pt idx="218">
                  <c:v>44.9</c:v>
                </c:pt>
                <c:pt idx="219">
                  <c:v>64.7</c:v>
                </c:pt>
                <c:pt idx="220">
                  <c:v>61.8</c:v>
                </c:pt>
                <c:pt idx="221">
                  <c:v>85.1</c:v>
                </c:pt>
                <c:pt idx="222">
                  <c:v>64.8</c:v>
                </c:pt>
                <c:pt idx="223">
                  <c:v>60.5</c:v>
                </c:pt>
                <c:pt idx="224">
                  <c:v>40.700000000000003</c:v>
                </c:pt>
                <c:pt idx="225">
                  <c:v>22</c:v>
                </c:pt>
                <c:pt idx="226">
                  <c:v>96.8</c:v>
                </c:pt>
                <c:pt idx="227">
                  <c:v>34.9</c:v>
                </c:pt>
                <c:pt idx="228">
                  <c:v>88</c:v>
                </c:pt>
                <c:pt idx="229">
                  <c:v>33.200000000000003</c:v>
                </c:pt>
                <c:pt idx="230">
                  <c:v>74.900000000000006</c:v>
                </c:pt>
                <c:pt idx="231">
                  <c:v>51.9</c:v>
                </c:pt>
                <c:pt idx="232">
                  <c:v>54.4</c:v>
                </c:pt>
                <c:pt idx="233">
                  <c:v>74.7</c:v>
                </c:pt>
                <c:pt idx="234">
                  <c:v>64.7</c:v>
                </c:pt>
                <c:pt idx="235">
                  <c:v>47.1</c:v>
                </c:pt>
                <c:pt idx="236">
                  <c:v>39.1</c:v>
                </c:pt>
                <c:pt idx="237">
                  <c:v>81.900000000000006</c:v>
                </c:pt>
                <c:pt idx="238">
                  <c:v>52</c:v>
                </c:pt>
                <c:pt idx="239">
                  <c:v>48.2</c:v>
                </c:pt>
                <c:pt idx="240">
                  <c:v>139.69999999999999</c:v>
                </c:pt>
                <c:pt idx="241">
                  <c:v>74.599999999999994</c:v>
                </c:pt>
                <c:pt idx="242">
                  <c:v>49.7</c:v>
                </c:pt>
                <c:pt idx="243">
                  <c:v>76.5</c:v>
                </c:pt>
                <c:pt idx="244">
                  <c:v>83.2</c:v>
                </c:pt>
                <c:pt idx="245">
                  <c:v>21.8</c:v>
                </c:pt>
                <c:pt idx="246">
                  <c:v>21.4</c:v>
                </c:pt>
                <c:pt idx="247">
                  <c:v>14.4</c:v>
                </c:pt>
                <c:pt idx="248">
                  <c:v>137.4</c:v>
                </c:pt>
                <c:pt idx="249">
                  <c:v>22.8</c:v>
                </c:pt>
                <c:pt idx="250">
                  <c:v>29.9</c:v>
                </c:pt>
                <c:pt idx="251">
                  <c:v>51.1</c:v>
                </c:pt>
                <c:pt idx="252">
                  <c:v>49</c:v>
                </c:pt>
                <c:pt idx="253">
                  <c:v>49.8</c:v>
                </c:pt>
                <c:pt idx="254">
                  <c:v>17.3</c:v>
                </c:pt>
                <c:pt idx="255">
                  <c:v>67.3</c:v>
                </c:pt>
                <c:pt idx="256">
                  <c:v>71.099999999999994</c:v>
                </c:pt>
                <c:pt idx="257">
                  <c:v>62.1</c:v>
                </c:pt>
                <c:pt idx="258">
                  <c:v>41.2</c:v>
                </c:pt>
                <c:pt idx="259">
                  <c:v>27.8</c:v>
                </c:pt>
                <c:pt idx="260">
                  <c:v>99.8</c:v>
                </c:pt>
                <c:pt idx="261">
                  <c:v>34.4</c:v>
                </c:pt>
                <c:pt idx="262">
                  <c:v>14.5</c:v>
                </c:pt>
                <c:pt idx="263">
                  <c:v>38.1</c:v>
                </c:pt>
                <c:pt idx="264">
                  <c:v>36.6</c:v>
                </c:pt>
                <c:pt idx="265">
                  <c:v>26.5</c:v>
                </c:pt>
                <c:pt idx="266">
                  <c:v>39.4</c:v>
                </c:pt>
                <c:pt idx="267">
                  <c:v>43.3</c:v>
                </c:pt>
                <c:pt idx="268">
                  <c:v>11</c:v>
                </c:pt>
                <c:pt idx="269">
                  <c:v>53.4</c:v>
                </c:pt>
                <c:pt idx="270">
                  <c:v>19.8</c:v>
                </c:pt>
                <c:pt idx="271">
                  <c:v>42.8</c:v>
                </c:pt>
                <c:pt idx="272">
                  <c:v>38.1</c:v>
                </c:pt>
                <c:pt idx="273">
                  <c:v>177.4</c:v>
                </c:pt>
                <c:pt idx="274">
                  <c:v>51.2</c:v>
                </c:pt>
                <c:pt idx="275">
                  <c:v>56.2</c:v>
                </c:pt>
                <c:pt idx="276">
                  <c:v>55.6</c:v>
                </c:pt>
                <c:pt idx="277">
                  <c:v>61.5</c:v>
                </c:pt>
                <c:pt idx="278">
                  <c:v>43.4</c:v>
                </c:pt>
                <c:pt idx="279">
                  <c:v>25.8</c:v>
                </c:pt>
                <c:pt idx="280">
                  <c:v>46.2</c:v>
                </c:pt>
                <c:pt idx="281">
                  <c:v>31.1</c:v>
                </c:pt>
                <c:pt idx="282">
                  <c:v>36.299999999999997</c:v>
                </c:pt>
                <c:pt idx="283">
                  <c:v>60.7</c:v>
                </c:pt>
                <c:pt idx="284">
                  <c:v>44.8</c:v>
                </c:pt>
                <c:pt idx="285">
                  <c:v>49.1</c:v>
                </c:pt>
                <c:pt idx="286">
                  <c:v>72.2</c:v>
                </c:pt>
                <c:pt idx="287">
                  <c:v>48.1</c:v>
                </c:pt>
                <c:pt idx="288">
                  <c:v>41.7</c:v>
                </c:pt>
                <c:pt idx="289">
                  <c:v>57.1</c:v>
                </c:pt>
                <c:pt idx="290">
                  <c:v>56.5</c:v>
                </c:pt>
                <c:pt idx="291">
                  <c:v>25.2</c:v>
                </c:pt>
                <c:pt idx="292">
                  <c:v>70</c:v>
                </c:pt>
                <c:pt idx="293">
                  <c:v>65.5</c:v>
                </c:pt>
                <c:pt idx="294">
                  <c:v>66.2</c:v>
                </c:pt>
                <c:pt idx="295">
                  <c:v>49.6</c:v>
                </c:pt>
                <c:pt idx="296">
                  <c:v>50.9</c:v>
                </c:pt>
                <c:pt idx="297">
                  <c:v>43.1</c:v>
                </c:pt>
                <c:pt idx="298">
                  <c:v>40.200000000000003</c:v>
                </c:pt>
                <c:pt idx="299">
                  <c:v>16.100000000000001</c:v>
                </c:pt>
                <c:pt idx="300">
                  <c:v>51.2</c:v>
                </c:pt>
                <c:pt idx="301">
                  <c:v>66.5</c:v>
                </c:pt>
                <c:pt idx="302">
                  <c:v>52.7</c:v>
                </c:pt>
                <c:pt idx="303">
                  <c:v>70.5</c:v>
                </c:pt>
                <c:pt idx="304">
                  <c:v>54</c:v>
                </c:pt>
                <c:pt idx="305">
                  <c:v>49.6</c:v>
                </c:pt>
                <c:pt idx="306">
                  <c:v>27</c:v>
                </c:pt>
                <c:pt idx="307">
                  <c:v>38.299999999999997</c:v>
                </c:pt>
                <c:pt idx="308">
                  <c:v>34.299999999999997</c:v>
                </c:pt>
                <c:pt idx="309">
                  <c:v>71.2</c:v>
                </c:pt>
                <c:pt idx="310">
                  <c:v>85.7</c:v>
                </c:pt>
                <c:pt idx="311">
                  <c:v>26</c:v>
                </c:pt>
                <c:pt idx="312">
                  <c:v>76.099999999999994</c:v>
                </c:pt>
                <c:pt idx="313">
                  <c:v>46.7</c:v>
                </c:pt>
                <c:pt idx="314">
                  <c:v>11.8</c:v>
                </c:pt>
                <c:pt idx="315">
                  <c:v>96.6</c:v>
                </c:pt>
                <c:pt idx="316">
                  <c:v>72.599999999999994</c:v>
                </c:pt>
                <c:pt idx="317">
                  <c:v>48.2</c:v>
                </c:pt>
                <c:pt idx="318">
                  <c:v>64.8</c:v>
                </c:pt>
                <c:pt idx="319">
                  <c:v>59.8</c:v>
                </c:pt>
                <c:pt idx="320">
                  <c:v>38.799999999999997</c:v>
                </c:pt>
                <c:pt idx="321">
                  <c:v>30.9</c:v>
                </c:pt>
                <c:pt idx="322">
                  <c:v>68.099999999999994</c:v>
                </c:pt>
                <c:pt idx="323">
                  <c:v>47.1</c:v>
                </c:pt>
                <c:pt idx="324">
                  <c:v>109.3</c:v>
                </c:pt>
                <c:pt idx="325">
                  <c:v>56.6</c:v>
                </c:pt>
                <c:pt idx="326">
                  <c:v>117.3</c:v>
                </c:pt>
                <c:pt idx="327">
                  <c:v>119.6</c:v>
                </c:pt>
                <c:pt idx="328">
                  <c:v>39.9</c:v>
                </c:pt>
                <c:pt idx="329">
                  <c:v>23</c:v>
                </c:pt>
                <c:pt idx="330">
                  <c:v>29.8</c:v>
                </c:pt>
                <c:pt idx="331">
                  <c:v>38.1</c:v>
                </c:pt>
                <c:pt idx="332">
                  <c:v>29.9</c:v>
                </c:pt>
                <c:pt idx="333">
                  <c:v>69.400000000000006</c:v>
                </c:pt>
                <c:pt idx="334">
                  <c:v>33.4</c:v>
                </c:pt>
                <c:pt idx="335">
                  <c:v>40.9</c:v>
                </c:pt>
                <c:pt idx="336">
                  <c:v>44.4</c:v>
                </c:pt>
                <c:pt idx="337">
                  <c:v>77.5</c:v>
                </c:pt>
                <c:pt idx="338">
                  <c:v>64</c:v>
                </c:pt>
                <c:pt idx="339">
                  <c:v>22.8</c:v>
                </c:pt>
                <c:pt idx="340">
                  <c:v>145</c:v>
                </c:pt>
                <c:pt idx="341">
                  <c:v>25</c:v>
                </c:pt>
                <c:pt idx="342">
                  <c:v>37.4</c:v>
                </c:pt>
                <c:pt idx="343">
                  <c:v>31</c:v>
                </c:pt>
                <c:pt idx="344">
                  <c:v>58.9</c:v>
                </c:pt>
                <c:pt idx="345">
                  <c:v>38</c:v>
                </c:pt>
                <c:pt idx="346">
                  <c:v>37</c:v>
                </c:pt>
                <c:pt idx="347">
                  <c:v>26.1</c:v>
                </c:pt>
                <c:pt idx="348">
                  <c:v>53.6</c:v>
                </c:pt>
                <c:pt idx="349">
                  <c:v>9.8000000000000007</c:v>
                </c:pt>
                <c:pt idx="350">
                  <c:v>19.899999999999999</c:v>
                </c:pt>
                <c:pt idx="351">
                  <c:v>62.4</c:v>
                </c:pt>
                <c:pt idx="352">
                  <c:v>29.5</c:v>
                </c:pt>
                <c:pt idx="353">
                  <c:v>28.9</c:v>
                </c:pt>
                <c:pt idx="354">
                  <c:v>21.3</c:v>
                </c:pt>
                <c:pt idx="355">
                  <c:v>38.4</c:v>
                </c:pt>
                <c:pt idx="356">
                  <c:v>49.5</c:v>
                </c:pt>
                <c:pt idx="357">
                  <c:v>37.5</c:v>
                </c:pt>
                <c:pt idx="358">
                  <c:v>26.7</c:v>
                </c:pt>
                <c:pt idx="359">
                  <c:v>54.1</c:v>
                </c:pt>
                <c:pt idx="360">
                  <c:v>64.099999999999994</c:v>
                </c:pt>
                <c:pt idx="361">
                  <c:v>86.4</c:v>
                </c:pt>
                <c:pt idx="362">
                  <c:v>55.4</c:v>
                </c:pt>
                <c:pt idx="363">
                  <c:v>55.1</c:v>
                </c:pt>
                <c:pt idx="364">
                  <c:v>54</c:v>
                </c:pt>
                <c:pt idx="365">
                  <c:v>67.8</c:v>
                </c:pt>
                <c:pt idx="366">
                  <c:v>76</c:v>
                </c:pt>
                <c:pt idx="367">
                  <c:v>63.2</c:v>
                </c:pt>
                <c:pt idx="368">
                  <c:v>66.099999999999994</c:v>
                </c:pt>
                <c:pt idx="369">
                  <c:v>50.7</c:v>
                </c:pt>
                <c:pt idx="370">
                  <c:v>34.200000000000003</c:v>
                </c:pt>
                <c:pt idx="371">
                  <c:v>48.2</c:v>
                </c:pt>
                <c:pt idx="372">
                  <c:v>45.1</c:v>
                </c:pt>
                <c:pt idx="373">
                  <c:v>69.7</c:v>
                </c:pt>
                <c:pt idx="374">
                  <c:v>51.9</c:v>
                </c:pt>
                <c:pt idx="375">
                  <c:v>67.099999999999994</c:v>
                </c:pt>
                <c:pt idx="376">
                  <c:v>76.8</c:v>
                </c:pt>
                <c:pt idx="377">
                  <c:v>41</c:v>
                </c:pt>
                <c:pt idx="378">
                  <c:v>20.9</c:v>
                </c:pt>
                <c:pt idx="379">
                  <c:v>64.5</c:v>
                </c:pt>
                <c:pt idx="380">
                  <c:v>36.200000000000003</c:v>
                </c:pt>
                <c:pt idx="381">
                  <c:v>30.3</c:v>
                </c:pt>
                <c:pt idx="382">
                  <c:v>121.8</c:v>
                </c:pt>
                <c:pt idx="383">
                  <c:v>37.200000000000003</c:v>
                </c:pt>
                <c:pt idx="384">
                  <c:v>16.3</c:v>
                </c:pt>
                <c:pt idx="385">
                  <c:v>36.299999999999997</c:v>
                </c:pt>
                <c:pt idx="386">
                  <c:v>28.6</c:v>
                </c:pt>
                <c:pt idx="387">
                  <c:v>44.9</c:v>
                </c:pt>
                <c:pt idx="388">
                  <c:v>49</c:v>
                </c:pt>
                <c:pt idx="389">
                  <c:v>16.7</c:v>
                </c:pt>
                <c:pt idx="390">
                  <c:v>59</c:v>
                </c:pt>
                <c:pt idx="391">
                  <c:v>100.4</c:v>
                </c:pt>
                <c:pt idx="392">
                  <c:v>30.1</c:v>
                </c:pt>
                <c:pt idx="393">
                  <c:v>47.2</c:v>
                </c:pt>
                <c:pt idx="394">
                  <c:v>24</c:v>
                </c:pt>
                <c:pt idx="395">
                  <c:v>44</c:v>
                </c:pt>
                <c:pt idx="396">
                  <c:v>36.4</c:v>
                </c:pt>
                <c:pt idx="397">
                  <c:v>48.1</c:v>
                </c:pt>
                <c:pt idx="398">
                  <c:v>60.2</c:v>
                </c:pt>
                <c:pt idx="399">
                  <c:v>32</c:v>
                </c:pt>
                <c:pt idx="400">
                  <c:v>52.3</c:v>
                </c:pt>
                <c:pt idx="401">
                  <c:v>55.1</c:v>
                </c:pt>
                <c:pt idx="402">
                  <c:v>29.1</c:v>
                </c:pt>
                <c:pt idx="403">
                  <c:v>13.2</c:v>
                </c:pt>
                <c:pt idx="404">
                  <c:v>77.599999999999994</c:v>
                </c:pt>
                <c:pt idx="405">
                  <c:v>23.3</c:v>
                </c:pt>
                <c:pt idx="406">
                  <c:v>24.2</c:v>
                </c:pt>
                <c:pt idx="407">
                  <c:v>98.4</c:v>
                </c:pt>
                <c:pt idx="408">
                  <c:v>67.400000000000006</c:v>
                </c:pt>
                <c:pt idx="409">
                  <c:v>75.900000000000006</c:v>
                </c:pt>
                <c:pt idx="410">
                  <c:v>21.4</c:v>
                </c:pt>
                <c:pt idx="411">
                  <c:v>65.400000000000006</c:v>
                </c:pt>
                <c:pt idx="412">
                  <c:v>33.700000000000003</c:v>
                </c:pt>
                <c:pt idx="413">
                  <c:v>37.6</c:v>
                </c:pt>
                <c:pt idx="414">
                  <c:v>73.900000000000006</c:v>
                </c:pt>
                <c:pt idx="415">
                  <c:v>47.8</c:v>
                </c:pt>
                <c:pt idx="416">
                  <c:v>54.2</c:v>
                </c:pt>
                <c:pt idx="417">
                  <c:v>26.4</c:v>
                </c:pt>
                <c:pt idx="418">
                  <c:v>26.4</c:v>
                </c:pt>
                <c:pt idx="419">
                  <c:v>45.1</c:v>
                </c:pt>
                <c:pt idx="420">
                  <c:v>47.5</c:v>
                </c:pt>
                <c:pt idx="421">
                  <c:v>44.6</c:v>
                </c:pt>
                <c:pt idx="422">
                  <c:v>50.7</c:v>
                </c:pt>
                <c:pt idx="423">
                  <c:v>52.9</c:v>
                </c:pt>
                <c:pt idx="424">
                  <c:v>107.2</c:v>
                </c:pt>
                <c:pt idx="425">
                  <c:v>54.6</c:v>
                </c:pt>
                <c:pt idx="426">
                  <c:v>69.400000000000006</c:v>
                </c:pt>
                <c:pt idx="427">
                  <c:v>21.5</c:v>
                </c:pt>
                <c:pt idx="428">
                  <c:v>46.6</c:v>
                </c:pt>
                <c:pt idx="429">
                  <c:v>58.6</c:v>
                </c:pt>
                <c:pt idx="430">
                  <c:v>31.8</c:v>
                </c:pt>
                <c:pt idx="431">
                  <c:v>23.8</c:v>
                </c:pt>
                <c:pt idx="432">
                  <c:v>51.9</c:v>
                </c:pt>
                <c:pt idx="433">
                  <c:v>60.2</c:v>
                </c:pt>
                <c:pt idx="434">
                  <c:v>23.6</c:v>
                </c:pt>
                <c:pt idx="435">
                  <c:v>24.5</c:v>
                </c:pt>
                <c:pt idx="436">
                  <c:v>52.7</c:v>
                </c:pt>
                <c:pt idx="437">
                  <c:v>77.8</c:v>
                </c:pt>
                <c:pt idx="438">
                  <c:v>29.8</c:v>
                </c:pt>
                <c:pt idx="439">
                  <c:v>61.7</c:v>
                </c:pt>
                <c:pt idx="440">
                  <c:v>66.8</c:v>
                </c:pt>
                <c:pt idx="441">
                  <c:v>44</c:v>
                </c:pt>
                <c:pt idx="442">
                  <c:v>54.8</c:v>
                </c:pt>
                <c:pt idx="443">
                  <c:v>68</c:v>
                </c:pt>
                <c:pt idx="444">
                  <c:v>72.2</c:v>
                </c:pt>
                <c:pt idx="445">
                  <c:v>36.4</c:v>
                </c:pt>
                <c:pt idx="446">
                  <c:v>60.1</c:v>
                </c:pt>
                <c:pt idx="447">
                  <c:v>39.799999999999997</c:v>
                </c:pt>
                <c:pt idx="448">
                  <c:v>37.9</c:v>
                </c:pt>
                <c:pt idx="449">
                  <c:v>43.4</c:v>
                </c:pt>
                <c:pt idx="450">
                  <c:v>50.1</c:v>
                </c:pt>
                <c:pt idx="451">
                  <c:v>55.4</c:v>
                </c:pt>
                <c:pt idx="452">
                  <c:v>80.2</c:v>
                </c:pt>
                <c:pt idx="453">
                  <c:v>105.8</c:v>
                </c:pt>
                <c:pt idx="454">
                  <c:v>38</c:v>
                </c:pt>
                <c:pt idx="455">
                  <c:v>42.5</c:v>
                </c:pt>
                <c:pt idx="456">
                  <c:v>45.4</c:v>
                </c:pt>
                <c:pt idx="457">
                  <c:v>56.6</c:v>
                </c:pt>
                <c:pt idx="458">
                  <c:v>17.600000000000001</c:v>
                </c:pt>
                <c:pt idx="459">
                  <c:v>20.3</c:v>
                </c:pt>
                <c:pt idx="460">
                  <c:v>27.2</c:v>
                </c:pt>
                <c:pt idx="461">
                  <c:v>70.099999999999994</c:v>
                </c:pt>
                <c:pt idx="462">
                  <c:v>12.6</c:v>
                </c:pt>
                <c:pt idx="463">
                  <c:v>35.700000000000003</c:v>
                </c:pt>
                <c:pt idx="464">
                  <c:v>54.5</c:v>
                </c:pt>
                <c:pt idx="465">
                  <c:v>80.7</c:v>
                </c:pt>
                <c:pt idx="466">
                  <c:v>36.200000000000003</c:v>
                </c:pt>
                <c:pt idx="467">
                  <c:v>72.5</c:v>
                </c:pt>
                <c:pt idx="468">
                  <c:v>57.8</c:v>
                </c:pt>
                <c:pt idx="469">
                  <c:v>63.5</c:v>
                </c:pt>
                <c:pt idx="470">
                  <c:v>40</c:v>
                </c:pt>
                <c:pt idx="471">
                  <c:v>75.599999999999994</c:v>
                </c:pt>
                <c:pt idx="472">
                  <c:v>47.5</c:v>
                </c:pt>
                <c:pt idx="473">
                  <c:v>122</c:v>
                </c:pt>
                <c:pt idx="474">
                  <c:v>17.5</c:v>
                </c:pt>
                <c:pt idx="475">
                  <c:v>17.600000000000001</c:v>
                </c:pt>
                <c:pt idx="476">
                  <c:v>48.4</c:v>
                </c:pt>
                <c:pt idx="477">
                  <c:v>24.4</c:v>
                </c:pt>
                <c:pt idx="478">
                  <c:v>15.9</c:v>
                </c:pt>
                <c:pt idx="479">
                  <c:v>26.8</c:v>
                </c:pt>
                <c:pt idx="480">
                  <c:v>29.5</c:v>
                </c:pt>
                <c:pt idx="481">
                  <c:v>49.5</c:v>
                </c:pt>
                <c:pt idx="482">
                  <c:v>82</c:v>
                </c:pt>
                <c:pt idx="483">
                  <c:v>48.3</c:v>
                </c:pt>
                <c:pt idx="484">
                  <c:v>25.2</c:v>
                </c:pt>
                <c:pt idx="485">
                  <c:v>59</c:v>
                </c:pt>
                <c:pt idx="486">
                  <c:v>69.400000000000006</c:v>
                </c:pt>
                <c:pt idx="487">
                  <c:v>48.8</c:v>
                </c:pt>
                <c:pt idx="488">
                  <c:v>37.6</c:v>
                </c:pt>
                <c:pt idx="489">
                  <c:v>90.2</c:v>
                </c:pt>
                <c:pt idx="490">
                  <c:v>72.099999999999994</c:v>
                </c:pt>
                <c:pt idx="491">
                  <c:v>57.8</c:v>
                </c:pt>
                <c:pt idx="492">
                  <c:v>49.3</c:v>
                </c:pt>
                <c:pt idx="493">
                  <c:v>85.5</c:v>
                </c:pt>
                <c:pt idx="494">
                  <c:v>56.2</c:v>
                </c:pt>
                <c:pt idx="495">
                  <c:v>30.2</c:v>
                </c:pt>
                <c:pt idx="496">
                  <c:v>31.9</c:v>
                </c:pt>
                <c:pt idx="497">
                  <c:v>62.3</c:v>
                </c:pt>
                <c:pt idx="498">
                  <c:v>155.30000000000001</c:v>
                </c:pt>
                <c:pt idx="499">
                  <c:v>53.9</c:v>
                </c:pt>
                <c:pt idx="500">
                  <c:v>31.5</c:v>
                </c:pt>
                <c:pt idx="501">
                  <c:v>18.100000000000001</c:v>
                </c:pt>
                <c:pt idx="502">
                  <c:v>18.399999999999999</c:v>
                </c:pt>
                <c:pt idx="503">
                  <c:v>24.5</c:v>
                </c:pt>
                <c:pt idx="504">
                  <c:v>56.2</c:v>
                </c:pt>
                <c:pt idx="505">
                  <c:v>67.400000000000006</c:v>
                </c:pt>
                <c:pt idx="506">
                  <c:v>45.4</c:v>
                </c:pt>
                <c:pt idx="507">
                  <c:v>19.5</c:v>
                </c:pt>
                <c:pt idx="508">
                  <c:v>62.8</c:v>
                </c:pt>
                <c:pt idx="509">
                  <c:v>49</c:v>
                </c:pt>
                <c:pt idx="510">
                  <c:v>72.400000000000006</c:v>
                </c:pt>
                <c:pt idx="511">
                  <c:v>61.9</c:v>
                </c:pt>
                <c:pt idx="512">
                  <c:v>13.4</c:v>
                </c:pt>
                <c:pt idx="513">
                  <c:v>21.5</c:v>
                </c:pt>
                <c:pt idx="514">
                  <c:v>64.8</c:v>
                </c:pt>
                <c:pt idx="515">
                  <c:v>86</c:v>
                </c:pt>
                <c:pt idx="516">
                  <c:v>52.8</c:v>
                </c:pt>
                <c:pt idx="517">
                  <c:v>55.7</c:v>
                </c:pt>
                <c:pt idx="518">
                  <c:v>32.4</c:v>
                </c:pt>
                <c:pt idx="519">
                  <c:v>37.6</c:v>
                </c:pt>
                <c:pt idx="520">
                  <c:v>47.1</c:v>
                </c:pt>
                <c:pt idx="521">
                  <c:v>77.8</c:v>
                </c:pt>
                <c:pt idx="522">
                  <c:v>23.8</c:v>
                </c:pt>
                <c:pt idx="523">
                  <c:v>48.4</c:v>
                </c:pt>
                <c:pt idx="524">
                  <c:v>124.5</c:v>
                </c:pt>
                <c:pt idx="525">
                  <c:v>59</c:v>
                </c:pt>
                <c:pt idx="526">
                  <c:v>32.4</c:v>
                </c:pt>
                <c:pt idx="527">
                  <c:v>34.4</c:v>
                </c:pt>
                <c:pt idx="528">
                  <c:v>49.4</c:v>
                </c:pt>
                <c:pt idx="529">
                  <c:v>50.5</c:v>
                </c:pt>
                <c:pt idx="530">
                  <c:v>90.1</c:v>
                </c:pt>
                <c:pt idx="531">
                  <c:v>45.1</c:v>
                </c:pt>
                <c:pt idx="532">
                  <c:v>32</c:v>
                </c:pt>
                <c:pt idx="533">
                  <c:v>57.4</c:v>
                </c:pt>
                <c:pt idx="534">
                  <c:v>15.6</c:v>
                </c:pt>
                <c:pt idx="535">
                  <c:v>10.5</c:v>
                </c:pt>
                <c:pt idx="536">
                  <c:v>49.1</c:v>
                </c:pt>
                <c:pt idx="537">
                  <c:v>42.4</c:v>
                </c:pt>
                <c:pt idx="538">
                  <c:v>52.7</c:v>
                </c:pt>
                <c:pt idx="539">
                  <c:v>45.4</c:v>
                </c:pt>
                <c:pt idx="540">
                  <c:v>59.4</c:v>
                </c:pt>
                <c:pt idx="541">
                  <c:v>28.5</c:v>
                </c:pt>
                <c:pt idx="542">
                  <c:v>61.3</c:v>
                </c:pt>
                <c:pt idx="543">
                  <c:v>56.8</c:v>
                </c:pt>
                <c:pt idx="544">
                  <c:v>32.9</c:v>
                </c:pt>
                <c:pt idx="545">
                  <c:v>32</c:v>
                </c:pt>
                <c:pt idx="546">
                  <c:v>34.799999999999997</c:v>
                </c:pt>
                <c:pt idx="547">
                  <c:v>54.1</c:v>
                </c:pt>
                <c:pt idx="548">
                  <c:v>79.900000000000006</c:v>
                </c:pt>
                <c:pt idx="549">
                  <c:v>70.8</c:v>
                </c:pt>
                <c:pt idx="550">
                  <c:v>23.6</c:v>
                </c:pt>
                <c:pt idx="551">
                  <c:v>47</c:v>
                </c:pt>
                <c:pt idx="552">
                  <c:v>38</c:v>
                </c:pt>
                <c:pt idx="553">
                  <c:v>46.4</c:v>
                </c:pt>
                <c:pt idx="554">
                  <c:v>46.1</c:v>
                </c:pt>
                <c:pt idx="555">
                  <c:v>17.600000000000001</c:v>
                </c:pt>
                <c:pt idx="556">
                  <c:v>32.200000000000003</c:v>
                </c:pt>
                <c:pt idx="557">
                  <c:v>55.4</c:v>
                </c:pt>
                <c:pt idx="558">
                  <c:v>70.099999999999994</c:v>
                </c:pt>
                <c:pt idx="559">
                  <c:v>50</c:v>
                </c:pt>
                <c:pt idx="560">
                  <c:v>47</c:v>
                </c:pt>
                <c:pt idx="561">
                  <c:v>79.2</c:v>
                </c:pt>
                <c:pt idx="562">
                  <c:v>62</c:v>
                </c:pt>
                <c:pt idx="563">
                  <c:v>102.4</c:v>
                </c:pt>
                <c:pt idx="564">
                  <c:v>33.5</c:v>
                </c:pt>
                <c:pt idx="565">
                  <c:v>74</c:v>
                </c:pt>
                <c:pt idx="566">
                  <c:v>44.2</c:v>
                </c:pt>
                <c:pt idx="567">
                  <c:v>60.9</c:v>
                </c:pt>
                <c:pt idx="568">
                  <c:v>38.700000000000003</c:v>
                </c:pt>
                <c:pt idx="569">
                  <c:v>47.8</c:v>
                </c:pt>
                <c:pt idx="570">
                  <c:v>40</c:v>
                </c:pt>
                <c:pt idx="571">
                  <c:v>26.9</c:v>
                </c:pt>
                <c:pt idx="572">
                  <c:v>34.799999999999997</c:v>
                </c:pt>
                <c:pt idx="573">
                  <c:v>39.1</c:v>
                </c:pt>
                <c:pt idx="574">
                  <c:v>43</c:v>
                </c:pt>
                <c:pt idx="575">
                  <c:v>55.8</c:v>
                </c:pt>
                <c:pt idx="576">
                  <c:v>12.1</c:v>
                </c:pt>
                <c:pt idx="577">
                  <c:v>12.6</c:v>
                </c:pt>
                <c:pt idx="578">
                  <c:v>54.1</c:v>
                </c:pt>
                <c:pt idx="579">
                  <c:v>66.900000000000006</c:v>
                </c:pt>
                <c:pt idx="580">
                  <c:v>27.3</c:v>
                </c:pt>
                <c:pt idx="581">
                  <c:v>22.9</c:v>
                </c:pt>
                <c:pt idx="582">
                  <c:v>60.1</c:v>
                </c:pt>
                <c:pt idx="583">
                  <c:v>22.5</c:v>
                </c:pt>
                <c:pt idx="584">
                  <c:v>32.700000000000003</c:v>
                </c:pt>
                <c:pt idx="585">
                  <c:v>47.4</c:v>
                </c:pt>
                <c:pt idx="586">
                  <c:v>40.5</c:v>
                </c:pt>
                <c:pt idx="587">
                  <c:v>23.2</c:v>
                </c:pt>
                <c:pt idx="588">
                  <c:v>72.7</c:v>
                </c:pt>
                <c:pt idx="589">
                  <c:v>40</c:v>
                </c:pt>
                <c:pt idx="590">
                  <c:v>49.4</c:v>
                </c:pt>
                <c:pt idx="591">
                  <c:v>38.700000000000003</c:v>
                </c:pt>
                <c:pt idx="592">
                  <c:v>30.8</c:v>
                </c:pt>
                <c:pt idx="593">
                  <c:v>52.7</c:v>
                </c:pt>
                <c:pt idx="594">
                  <c:v>69.7</c:v>
                </c:pt>
                <c:pt idx="595">
                  <c:v>55</c:v>
                </c:pt>
                <c:pt idx="596">
                  <c:v>52.3</c:v>
                </c:pt>
                <c:pt idx="597">
                  <c:v>32.4</c:v>
                </c:pt>
                <c:pt idx="598">
                  <c:v>28.8</c:v>
                </c:pt>
                <c:pt idx="599">
                  <c:v>73.2</c:v>
                </c:pt>
                <c:pt idx="600">
                  <c:v>62.9</c:v>
                </c:pt>
              </c:numCache>
            </c:numRef>
          </c:xVal>
          <c:yVal>
            <c:numRef>
              <c:f>Data!$L$2:$L$602</c:f>
              <c:numCache>
                <c:formatCode>General</c:formatCode>
                <c:ptCount val="60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4C-4FF8-8A22-F2E1CF1BD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027232"/>
        <c:axId val="1237028064"/>
      </c:scatterChart>
      <c:valAx>
        <c:axId val="123702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028064"/>
        <c:crosses val="autoZero"/>
        <c:crossBetween val="midCat"/>
      </c:valAx>
      <c:valAx>
        <c:axId val="12370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02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Which loan Purpose has the higher risk to default?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7D-49C1-8528-2AD42FED7B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Analysis'!$I$68:$I$70</c:f>
              <c:strCache>
                <c:ptCount val="3"/>
                <c:pt idx="0">
                  <c:v>Consumer &amp; Personal</c:v>
                </c:pt>
                <c:pt idx="1">
                  <c:v>Debt &amp; Assets</c:v>
                </c:pt>
                <c:pt idx="2">
                  <c:v>Investment &amp; Growth</c:v>
                </c:pt>
              </c:strCache>
            </c:strRef>
          </c:cat>
          <c:val>
            <c:numRef>
              <c:f>'Segment Analysis'!$J$68:$J$70</c:f>
              <c:numCache>
                <c:formatCode>0.00</c:formatCode>
                <c:ptCount val="3"/>
                <c:pt idx="0">
                  <c:v>23.966942148760332</c:v>
                </c:pt>
                <c:pt idx="1">
                  <c:v>23.595505617977526</c:v>
                </c:pt>
                <c:pt idx="2">
                  <c:v>25.414364640883981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D-49C1-8528-2AD42FED7B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7061760"/>
        <c:axId val="1237082144"/>
      </c:barChart>
      <c:catAx>
        <c:axId val="1237061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082144"/>
        <c:crosses val="autoZero"/>
        <c:auto val="1"/>
        <c:lblAlgn val="ctr"/>
        <c:lblOffset val="100"/>
        <c:noMultiLvlLbl val="0"/>
      </c:catAx>
      <c:valAx>
        <c:axId val="123708214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06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3</xdr:row>
      <xdr:rowOff>7620</xdr:rowOff>
    </xdr:from>
    <xdr:to>
      <xdr:col>7</xdr:col>
      <xdr:colOff>289560</xdr:colOff>
      <xdr:row>16</xdr:row>
      <xdr:rowOff>144780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3</xdr:row>
      <xdr:rowOff>7620</xdr:rowOff>
    </xdr:from>
    <xdr:to>
      <xdr:col>12</xdr:col>
      <xdr:colOff>38100</xdr:colOff>
      <xdr:row>16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144780</xdr:rowOff>
    </xdr:from>
    <xdr:to>
      <xdr:col>12</xdr:col>
      <xdr:colOff>30480</xdr:colOff>
      <xdr:row>31</xdr:row>
      <xdr:rowOff>144780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306.636260763888" createdVersion="6" refreshedVersion="6" minRefreshableVersion="3" recordCount="601">
  <cacheSource type="worksheet">
    <worksheetSource name="Fact_table_clean"/>
  </cacheSource>
  <cacheFields count="26">
    <cacheField name="loan_id" numFmtId="0">
      <sharedItems/>
    </cacheField>
    <cacheField name="borrower_id" numFmtId="0">
      <sharedItems/>
    </cacheField>
    <cacheField name="application_date" numFmtId="14">
      <sharedItems containsSemiMixedTypes="0" containsNonDate="0" containsDate="1" containsString="0" minDate="2024-01-02T00:00:00" maxDate="2025-06-30T00:00:00"/>
    </cacheField>
    <cacheField name="loan_purpose" numFmtId="0">
      <sharedItems/>
    </cacheField>
    <cacheField name="loan_amount" numFmtId="0">
      <sharedItems containsSemiMixedTypes="0" containsString="0" containsNumber="1" containsInteger="1" minValue="2000" maxValue="49800" count="341">
        <n v="16100"/>
        <n v="5600"/>
        <n v="44700"/>
        <n v="9200"/>
        <n v="11200"/>
        <n v="28600"/>
        <n v="39200"/>
        <n v="36300"/>
        <n v="39000"/>
        <n v="28400"/>
        <n v="13300"/>
        <n v="2700"/>
        <n v="15700"/>
        <n v="38300"/>
        <n v="28800"/>
        <n v="23700"/>
        <n v="2000"/>
        <n v="34300"/>
        <n v="17500"/>
        <n v="20600"/>
        <n v="23100"/>
        <n v="23300"/>
        <n v="7200"/>
        <n v="13700"/>
        <n v="32400"/>
        <n v="7400"/>
        <n v="13600"/>
        <n v="34200"/>
        <n v="45200"/>
        <n v="46200"/>
        <n v="12400"/>
        <n v="16400"/>
        <n v="27100"/>
        <n v="5400"/>
        <n v="5500"/>
        <n v="46400"/>
        <n v="46500"/>
        <n v="16200"/>
        <n v="4300"/>
        <n v="10500"/>
        <n v="6800"/>
        <n v="28900"/>
        <n v="12800"/>
        <n v="5900"/>
        <n v="15100"/>
        <n v="22600"/>
        <n v="9000"/>
        <n v="11000"/>
        <n v="19200"/>
        <n v="12900"/>
        <n v="3900"/>
        <n v="41600"/>
        <n v="4000"/>
        <n v="14400"/>
        <n v="24300"/>
        <n v="15600"/>
        <n v="7900"/>
        <n v="9700"/>
        <n v="36200"/>
        <n v="14100"/>
        <n v="26200"/>
        <n v="12000"/>
        <n v="37700"/>
        <n v="29000"/>
        <n v="38400"/>
        <n v="20500"/>
        <n v="42700"/>
        <n v="10600"/>
        <n v="5200"/>
        <n v="29500"/>
        <n v="40300"/>
        <n v="4700"/>
        <n v="5800"/>
        <n v="15400"/>
        <n v="47600"/>
        <n v="16300"/>
        <n v="43500"/>
        <n v="25900"/>
        <n v="19800"/>
        <n v="8200"/>
        <n v="44800"/>
        <n v="31800"/>
        <n v="27200"/>
        <n v="15500"/>
        <n v="35700"/>
        <n v="18400"/>
        <n v="4900"/>
        <n v="45400"/>
        <n v="17200"/>
        <n v="31400"/>
        <n v="10800"/>
        <n v="21500"/>
        <n v="9400"/>
        <n v="12500"/>
        <n v="10900"/>
        <n v="29700"/>
        <n v="26700"/>
        <n v="17900"/>
        <n v="36900"/>
        <n v="9100"/>
        <n v="5100"/>
        <n v="18700"/>
        <n v="13400"/>
        <n v="34800"/>
        <n v="48200"/>
        <n v="27000"/>
        <n v="10300"/>
        <n v="42100"/>
        <n v="35200"/>
        <n v="8000"/>
        <n v="39300"/>
        <n v="40800"/>
        <n v="2200"/>
        <n v="43000"/>
        <n v="18500"/>
        <n v="38600"/>
        <n v="12200"/>
        <n v="10200"/>
        <n v="22500"/>
        <n v="6500"/>
        <n v="39600"/>
        <n v="4400"/>
        <n v="17400"/>
        <n v="4200"/>
        <n v="6300"/>
        <n v="25400"/>
        <n v="12600"/>
        <n v="31100"/>
        <n v="11900"/>
        <n v="8400"/>
        <n v="37900"/>
        <n v="30000"/>
        <n v="14900"/>
        <n v="45700"/>
        <n v="25000"/>
        <n v="32900"/>
        <n v="5700"/>
        <n v="48500"/>
        <n v="21200"/>
        <n v="20400"/>
        <n v="13500"/>
        <n v="19900"/>
        <n v="2600"/>
        <n v="21900"/>
        <n v="19300"/>
        <n v="17700"/>
        <n v="24800"/>
        <n v="37200"/>
        <n v="38800"/>
        <n v="35500"/>
        <n v="34400"/>
        <n v="7700"/>
        <n v="24500"/>
        <n v="11600"/>
        <n v="34000"/>
        <n v="40500"/>
        <n v="7000"/>
        <n v="21400"/>
        <n v="28300"/>
        <n v="9300"/>
        <n v="42900"/>
        <n v="8500"/>
        <n v="36800"/>
        <n v="2500"/>
        <n v="45300"/>
        <n v="14800"/>
        <n v="11400"/>
        <n v="10400"/>
        <n v="30700"/>
        <n v="24700"/>
        <n v="14000"/>
        <n v="22700"/>
        <n v="22000"/>
        <n v="10000"/>
        <n v="27600"/>
        <n v="5000"/>
        <n v="2800"/>
        <n v="35600"/>
        <n v="46900"/>
        <n v="15200"/>
        <n v="44400"/>
        <n v="7600"/>
        <n v="13900"/>
        <n v="29800"/>
        <n v="32100"/>
        <n v="49700"/>
        <n v="10100"/>
        <n v="25700"/>
        <n v="20300"/>
        <n v="21300"/>
        <n v="40900"/>
        <n v="33100"/>
        <n v="6900"/>
        <n v="23800"/>
        <n v="18600"/>
        <n v="6200"/>
        <n v="27800"/>
        <n v="39400"/>
        <n v="30600"/>
        <n v="13100"/>
        <n v="20700"/>
        <n v="6100"/>
        <n v="43900"/>
        <n v="8100"/>
        <n v="22300"/>
        <n v="21600"/>
        <n v="26800"/>
        <n v="32800"/>
        <n v="17100"/>
        <n v="32000"/>
        <n v="24100"/>
        <n v="42400"/>
        <n v="37400"/>
        <n v="13200"/>
        <n v="22800"/>
        <n v="14200"/>
        <n v="16600"/>
        <n v="41100"/>
        <n v="16900"/>
        <n v="31000"/>
        <n v="3800"/>
        <n v="12100"/>
        <n v="35900"/>
        <n v="9900"/>
        <n v="30100"/>
        <n v="2400"/>
        <n v="33300"/>
        <n v="23500"/>
        <n v="32700"/>
        <n v="35000"/>
        <n v="49000"/>
        <n v="2100"/>
        <n v="42300"/>
        <n v="34700"/>
        <n v="40100"/>
        <n v="29400"/>
        <n v="25600"/>
        <n v="48000"/>
        <n v="22200"/>
        <n v="44200"/>
        <n v="30500"/>
        <n v="8800"/>
        <n v="28000"/>
        <n v="47700"/>
        <n v="4500"/>
        <n v="36100"/>
        <n v="19700"/>
        <n v="31300"/>
        <n v="33000"/>
        <n v="25800"/>
        <n v="20100"/>
        <n v="26100"/>
        <n v="39700"/>
        <n v="18800"/>
        <n v="19000"/>
        <n v="49500"/>
        <n v="14600"/>
        <n v="12300"/>
        <n v="42200"/>
        <n v="23900"/>
        <n v="8300"/>
        <n v="38100"/>
        <n v="26500"/>
        <n v="21000"/>
        <n v="13000"/>
        <n v="35400"/>
        <n v="20000"/>
        <n v="24900"/>
        <n v="33800"/>
        <n v="11100"/>
        <n v="3400"/>
        <n v="39900"/>
        <n v="33900"/>
        <n v="44600"/>
        <n v="47200"/>
        <n v="17000"/>
        <n v="36400"/>
        <n v="22100"/>
        <n v="9800"/>
        <n v="32200"/>
        <n v="11300"/>
        <n v="18000"/>
        <n v="20800"/>
        <n v="40000"/>
        <n v="49200"/>
        <n v="33200"/>
        <n v="30200"/>
        <n v="26900"/>
        <n v="30800"/>
        <n v="14300"/>
        <n v="49800"/>
        <n v="24000"/>
        <n v="26000"/>
        <n v="31700"/>
        <n v="18100"/>
        <n v="25100"/>
        <n v="17600"/>
        <n v="46800"/>
        <n v="31600"/>
        <n v="3700"/>
        <n v="42800"/>
        <n v="46600"/>
        <n v="17800"/>
        <n v="38700"/>
        <n v="6000"/>
        <n v="45000"/>
        <n v="35100"/>
        <n v="26300"/>
        <n v="21100"/>
        <n v="3600"/>
        <n v="6600"/>
        <n v="18900"/>
        <n v="35300"/>
        <n v="28500"/>
        <n v="2300"/>
        <n v="36000"/>
        <n v="8700"/>
        <n v="7500"/>
        <n v="47100"/>
        <n v="11800"/>
        <n v="42600"/>
        <n v="46300"/>
        <n v="44900"/>
        <n v="47300"/>
        <n v="16700"/>
        <n v="33700"/>
        <n v="40200"/>
        <n v="19600"/>
        <n v="19500"/>
        <n v="24400"/>
        <n v="4600"/>
        <n v="47000"/>
        <n v="7100"/>
        <n v="2900"/>
        <n v="26400"/>
        <n v="37300"/>
        <n v="48300"/>
        <n v="4800"/>
        <n v="34900"/>
        <n v="29100"/>
        <n v="7800"/>
      </sharedItems>
    </cacheField>
    <cacheField name="term_months" numFmtId="0">
      <sharedItems containsSemiMixedTypes="0" containsString="0" containsNumber="1" containsInteger="1" minValue="12" maxValue="60"/>
    </cacheField>
    <cacheField name="interest_rate" numFmtId="0">
      <sharedItems containsSemiMixedTypes="0" containsString="0" containsNumber="1" minValue="5.86" maxValue="15.86"/>
    </cacheField>
    <cacheField name="monthly_payment" numFmtId="0">
      <sharedItems containsSemiMixedTypes="0" containsString="0" containsNumber="1" minValue="44.14" maxValue="4262.6899999999996"/>
    </cacheField>
    <cacheField name="dti_ratio" numFmtId="0">
      <sharedItems containsSemiMixedTypes="0" containsString="0" containsNumber="1" minValue="7.6" maxValue="177.4"/>
    </cacheField>
    <cacheField name="loan_status" numFmtId="0">
      <sharedItems/>
    </cacheField>
    <cacheField name="days_delinquent" numFmtId="0">
      <sharedItems containsSemiMixedTypes="0" containsString="0" containsNumber="1" containsInteger="1" minValue="0" maxValue="180"/>
    </cacheField>
    <cacheField name="defaulted" numFmtId="0">
      <sharedItems containsSemiMixedTypes="0" containsString="0" containsNumber="1" containsInteger="1" minValue="0" maxValue="1" count="2">
        <n v="0"/>
        <n v="1"/>
      </sharedItems>
    </cacheField>
    <cacheField name="age" numFmtId="0">
      <sharedItems containsSemiMixedTypes="0" containsString="0" containsNumber="1" containsInteger="1" minValue="22" maxValue="68"/>
    </cacheField>
    <cacheField name="state" numFmtId="0">
      <sharedItems/>
    </cacheField>
    <cacheField name="education_level" numFmtId="0">
      <sharedItems/>
    </cacheField>
    <cacheField name="employment_status" numFmtId="0">
      <sharedItems/>
    </cacheField>
    <cacheField name="years_employed" numFmtId="0">
      <sharedItems containsSemiMixedTypes="0" containsString="0" containsNumber="1" containsInteger="1" minValue="0" maxValue="35" count="36">
        <n v="6"/>
        <n v="4"/>
        <n v="22"/>
        <n v="19"/>
        <n v="18"/>
        <n v="8"/>
        <n v="5"/>
        <n v="14"/>
        <n v="15"/>
        <n v="2"/>
        <n v="0"/>
        <n v="9"/>
        <n v="28"/>
        <n v="17"/>
        <n v="13"/>
        <n v="12"/>
        <n v="10"/>
        <n v="34"/>
        <n v="1"/>
        <n v="16"/>
        <n v="3"/>
        <n v="11"/>
        <n v="26"/>
        <n v="7"/>
        <n v="30"/>
        <n v="27"/>
        <n v="25"/>
        <n v="33"/>
        <n v="20"/>
        <n v="29"/>
        <n v="32"/>
        <n v="24"/>
        <n v="21"/>
        <n v="31"/>
        <n v="35"/>
        <n v="23"/>
      </sharedItems>
    </cacheField>
    <cacheField name="annual_income" numFmtId="0">
      <sharedItems containsSemiMixedTypes="0" containsString="0" containsNumber="1" containsInteger="1" minValue="12549" maxValue="157047"/>
    </cacheField>
    <cacheField name="credit_score" numFmtId="0">
      <sharedItems containsSemiMixedTypes="0" containsString="0" containsNumber="1" containsInteger="1" minValue="528" maxValue="850"/>
    </cacheField>
    <cacheField name="home_ownership" numFmtId="0">
      <sharedItems/>
    </cacheField>
    <cacheField name="dependents" numFmtId="0">
      <sharedItems containsSemiMixedTypes="0" containsString="0" containsNumber="1" containsInteger="1" minValue="0" maxValue="4"/>
    </cacheField>
    <cacheField name="existing_monthly_debt" numFmtId="0">
      <sharedItems containsSemiMixedTypes="0" containsString="0" containsNumber="1" containsInteger="1" minValue="124" maxValue="6130"/>
    </cacheField>
    <cacheField name="Credit_score_bucket" numFmtId="0">
      <sharedItems count="10">
        <s v="520-599"/>
        <s v="600-649"/>
        <s v="700-749"/>
        <s v="750+"/>
        <s v="650-699"/>
        <s v="Poor" u="1"/>
        <s v="Fair" u="1"/>
        <s v="Good" u="1"/>
        <s v="Very Good" u="1"/>
        <s v="Exceptional" u="1"/>
      </sharedItems>
    </cacheField>
    <cacheField name="DTI_Ratio_Buckets" numFmtId="0">
      <sharedItems count="4">
        <s v="High (51-75%)"/>
        <s v="Manageable (36-50%)"/>
        <s v="Low (&lt;=35%)"/>
        <s v="Critical (&gt;75%)"/>
      </sharedItems>
    </cacheField>
    <cacheField name="Employment_Status_bucket" numFmtId="0">
      <sharedItems count="3">
        <s v="Self-Employed"/>
        <s v="Employed"/>
        <s v="Retired"/>
      </sharedItems>
    </cacheField>
    <cacheField name="Loan_Purpose_bucket" numFmtId="0">
      <sharedItems count="3">
        <s v="Consumer &amp; Personal"/>
        <s v="Debt &amp; Assets"/>
        <s v="Investment &amp; Grow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1">
  <r>
    <s v="LN-00001"/>
    <s v="BRW-0001"/>
    <d v="2024-01-08T00:00:00"/>
    <s v="Vacation"/>
    <x v="0"/>
    <n v="36"/>
    <n v="13.05"/>
    <n v="542.86"/>
    <n v="55.5"/>
    <s v="Paid Off"/>
    <n v="0"/>
    <x v="0"/>
    <n v="62"/>
    <s v="CT"/>
    <s v="High School"/>
    <s v="Self-Employed"/>
    <x v="0"/>
    <n v="31020"/>
    <n v="596"/>
    <s v="Rent"/>
    <n v="1"/>
    <n v="892"/>
    <x v="0"/>
    <x v="0"/>
    <x v="0"/>
    <x v="0"/>
  </r>
  <r>
    <s v="LN-00002"/>
    <s v="BRW-0001"/>
    <d v="2024-08-13T00:00:00"/>
    <s v="Major Purchase"/>
    <x v="1"/>
    <n v="48"/>
    <n v="14.21"/>
    <n v="153.62"/>
    <n v="40.4"/>
    <s v="Default"/>
    <n v="138"/>
    <x v="1"/>
    <n v="62"/>
    <s v="CT"/>
    <s v="High School"/>
    <s v="Self-Employed"/>
    <x v="0"/>
    <n v="31020"/>
    <n v="596"/>
    <s v="Rent"/>
    <n v="1"/>
    <n v="892"/>
    <x v="0"/>
    <x v="1"/>
    <x v="0"/>
    <x v="1"/>
  </r>
  <r>
    <s v="LN-00003"/>
    <s v="BRW-0002"/>
    <d v="2025-06-28T00:00:00"/>
    <s v="Moving"/>
    <x v="2"/>
    <n v="36"/>
    <n v="12.37"/>
    <n v="1492.59"/>
    <n v="70.5"/>
    <s v="Paid Off"/>
    <n v="0"/>
    <x v="0"/>
    <n v="24"/>
    <s v="CO"/>
    <s v="High School"/>
    <s v="Full-Time"/>
    <x v="1"/>
    <n v="40188"/>
    <n v="543"/>
    <s v="Own"/>
    <n v="2"/>
    <n v="869"/>
    <x v="0"/>
    <x v="0"/>
    <x v="1"/>
    <x v="0"/>
  </r>
  <r>
    <s v="LN-00004"/>
    <s v="BRW-0003"/>
    <d v="2025-05-18T00:00:00"/>
    <s v="Auto Loan"/>
    <x v="3"/>
    <n v="48"/>
    <n v="11.18"/>
    <n v="238.58"/>
    <n v="59.8"/>
    <s v="Default"/>
    <n v="34"/>
    <x v="1"/>
    <n v="50"/>
    <s v="NC"/>
    <s v="Bachelor"/>
    <s v="Contract"/>
    <x v="2"/>
    <n v="41014"/>
    <n v="611"/>
    <s v="Mortgage"/>
    <n v="0"/>
    <n v="1806"/>
    <x v="1"/>
    <x v="0"/>
    <x v="1"/>
    <x v="1"/>
  </r>
  <r>
    <s v="LN-00005"/>
    <s v="BRW-0004"/>
    <d v="2025-03-24T00:00:00"/>
    <s v="Moving"/>
    <x v="4"/>
    <n v="36"/>
    <n v="9.66"/>
    <n v="359.61"/>
    <n v="44.1"/>
    <s v="Current"/>
    <n v="0"/>
    <x v="0"/>
    <n v="43"/>
    <s v="TX"/>
    <s v="High School"/>
    <s v="Full-Time"/>
    <x v="3"/>
    <n v="35036"/>
    <n v="701"/>
    <s v="Mortgage"/>
    <n v="2"/>
    <n v="928"/>
    <x v="2"/>
    <x v="1"/>
    <x v="1"/>
    <x v="0"/>
  </r>
  <r>
    <s v="LN-00006"/>
    <s v="BRW-0005"/>
    <d v="2025-04-19T00:00:00"/>
    <s v="Education"/>
    <x v="5"/>
    <n v="48"/>
    <n v="13.07"/>
    <n v="768.26"/>
    <n v="37.1"/>
    <s v="Current"/>
    <n v="0"/>
    <x v="0"/>
    <n v="46"/>
    <s v="NY"/>
    <s v="High School"/>
    <s v="Full-Time"/>
    <x v="4"/>
    <n v="44528"/>
    <n v="715"/>
    <s v="Own"/>
    <n v="0"/>
    <n v="608"/>
    <x v="2"/>
    <x v="1"/>
    <x v="1"/>
    <x v="2"/>
  </r>
  <r>
    <s v="LN-00007"/>
    <s v="BRW-0006"/>
    <d v="2024-07-04T00:00:00"/>
    <s v="Medical Expenses"/>
    <x v="6"/>
    <n v="12"/>
    <n v="10.23"/>
    <n v="3450.5"/>
    <n v="49.9"/>
    <s v="Paid Off"/>
    <n v="0"/>
    <x v="0"/>
    <n v="40"/>
    <s v="OR"/>
    <s v="Doctorate"/>
    <s v="Contract"/>
    <x v="5"/>
    <n v="157047"/>
    <n v="749"/>
    <s v="Mortgage"/>
    <n v="1"/>
    <n v="3076"/>
    <x v="2"/>
    <x v="1"/>
    <x v="1"/>
    <x v="0"/>
  </r>
  <r>
    <s v="LN-00008"/>
    <s v="BRW-0007"/>
    <d v="2025-03-29T00:00:00"/>
    <s v="Home Improvement"/>
    <x v="7"/>
    <n v="48"/>
    <n v="14.26"/>
    <n v="996.69"/>
    <n v="38.200000000000003"/>
    <s v="Default"/>
    <n v="38"/>
    <x v="1"/>
    <n v="35"/>
    <s v="GA"/>
    <s v="Bachelor"/>
    <s v="Self-Employed"/>
    <x v="6"/>
    <n v="84210"/>
    <n v="576"/>
    <s v="Mortgage"/>
    <n v="0"/>
    <n v="1682"/>
    <x v="0"/>
    <x v="1"/>
    <x v="0"/>
    <x v="2"/>
  </r>
  <r>
    <s v="LN-00009"/>
    <s v="BRW-0007"/>
    <d v="2024-08-01T00:00:00"/>
    <s v="Business Loan"/>
    <x v="8"/>
    <n v="60"/>
    <n v="13.73"/>
    <n v="902.01"/>
    <n v="36.799999999999997"/>
    <s v="Current"/>
    <n v="0"/>
    <x v="0"/>
    <n v="35"/>
    <s v="GA"/>
    <s v="Bachelor"/>
    <s v="Self-Employed"/>
    <x v="6"/>
    <n v="84210"/>
    <n v="576"/>
    <s v="Mortgage"/>
    <n v="0"/>
    <n v="1682"/>
    <x v="0"/>
    <x v="1"/>
    <x v="0"/>
    <x v="2"/>
  </r>
  <r>
    <s v="LN-00010"/>
    <s v="BRW-0008"/>
    <d v="2024-11-01T00:00:00"/>
    <s v="Debt Consolidation"/>
    <x v="9"/>
    <n v="12"/>
    <n v="11.88"/>
    <n v="2521.71"/>
    <n v="67.8"/>
    <s v="Default"/>
    <n v="43"/>
    <x v="1"/>
    <n v="62"/>
    <s v="KY"/>
    <s v="Bachelor"/>
    <s v="Full-Time"/>
    <x v="7"/>
    <n v="61289"/>
    <n v="563"/>
    <s v="Rent"/>
    <n v="1"/>
    <n v="939"/>
    <x v="0"/>
    <x v="0"/>
    <x v="1"/>
    <x v="1"/>
  </r>
  <r>
    <s v="LN-00011"/>
    <s v="BRW-0009"/>
    <d v="2024-06-20T00:00:00"/>
    <s v="Business Loan"/>
    <x v="10"/>
    <n v="48"/>
    <n v="10.91"/>
    <n v="343.16"/>
    <n v="18.600000000000001"/>
    <s v="Current"/>
    <n v="0"/>
    <x v="0"/>
    <n v="35"/>
    <s v="UT"/>
    <s v="Master"/>
    <s v="Part-Time"/>
    <x v="8"/>
    <n v="63908"/>
    <n v="643"/>
    <s v="Mortgage"/>
    <n v="2"/>
    <n v="646"/>
    <x v="1"/>
    <x v="2"/>
    <x v="1"/>
    <x v="2"/>
  </r>
  <r>
    <s v="LN-00012"/>
    <s v="BRW-0009"/>
    <d v="2024-06-07T00:00:00"/>
    <s v="Business Loan"/>
    <x v="11"/>
    <n v="48"/>
    <n v="12.73"/>
    <n v="72.069999999999993"/>
    <n v="13.5"/>
    <s v="Current"/>
    <n v="0"/>
    <x v="0"/>
    <n v="35"/>
    <s v="UT"/>
    <s v="Master"/>
    <s v="Part-Time"/>
    <x v="8"/>
    <n v="63908"/>
    <n v="643"/>
    <s v="Mortgage"/>
    <n v="2"/>
    <n v="646"/>
    <x v="1"/>
    <x v="2"/>
    <x v="1"/>
    <x v="2"/>
  </r>
  <r>
    <s v="LN-00013"/>
    <s v="BRW-0010"/>
    <d v="2024-06-06T00:00:00"/>
    <s v="Wedding"/>
    <x v="12"/>
    <n v="12"/>
    <n v="6.57"/>
    <n v="1355.36"/>
    <n v="126"/>
    <s v="Current"/>
    <n v="0"/>
    <x v="0"/>
    <n v="30"/>
    <s v="WA"/>
    <s v="Associate"/>
    <s v="Part-Time"/>
    <x v="0"/>
    <n v="22845"/>
    <n v="824"/>
    <s v="Rent"/>
    <n v="1"/>
    <n v="1044"/>
    <x v="3"/>
    <x v="3"/>
    <x v="1"/>
    <x v="0"/>
  </r>
  <r>
    <s v="LN-00014"/>
    <s v="BRW-0011"/>
    <d v="2024-01-22T00:00:00"/>
    <s v="Moving"/>
    <x v="13"/>
    <n v="48"/>
    <n v="13.9"/>
    <n v="1044.68"/>
    <n v="63.6"/>
    <s v="Current"/>
    <n v="0"/>
    <x v="0"/>
    <n v="30"/>
    <s v="KY"/>
    <s v="Bachelor"/>
    <s v="Full-Time"/>
    <x v="9"/>
    <n v="43606"/>
    <n v="586"/>
    <s v="Mortgage"/>
    <n v="2"/>
    <n v="1265"/>
    <x v="0"/>
    <x v="0"/>
    <x v="1"/>
    <x v="0"/>
  </r>
  <r>
    <s v="LN-00015"/>
    <s v="BRW-0012"/>
    <d v="2024-07-13T00:00:00"/>
    <s v="Vacation"/>
    <x v="14"/>
    <n v="60"/>
    <n v="9.94"/>
    <n v="611.05999999999995"/>
    <n v="48.3"/>
    <s v="Current"/>
    <n v="0"/>
    <x v="0"/>
    <n v="46"/>
    <s v="FL"/>
    <s v="Bachelor"/>
    <s v="Retired"/>
    <x v="10"/>
    <n v="44614"/>
    <n v="813"/>
    <s v="Rent"/>
    <n v="2"/>
    <n v="1184"/>
    <x v="3"/>
    <x v="1"/>
    <x v="2"/>
    <x v="0"/>
  </r>
  <r>
    <s v="LN-00016"/>
    <s v="BRW-0012"/>
    <d v="2025-06-27T00:00:00"/>
    <s v="Vacation"/>
    <x v="15"/>
    <n v="60"/>
    <n v="7.25"/>
    <n v="472.09"/>
    <n v="44.5"/>
    <s v="Default"/>
    <n v="105"/>
    <x v="1"/>
    <n v="46"/>
    <s v="FL"/>
    <s v="Bachelor"/>
    <s v="Retired"/>
    <x v="10"/>
    <n v="44614"/>
    <n v="813"/>
    <s v="Rent"/>
    <n v="2"/>
    <n v="1184"/>
    <x v="3"/>
    <x v="1"/>
    <x v="2"/>
    <x v="0"/>
  </r>
  <r>
    <s v="LN-00017"/>
    <s v="BRW-0013"/>
    <d v="2024-07-08T00:00:00"/>
    <s v="Moving"/>
    <x v="16"/>
    <n v="60"/>
    <n v="11.65"/>
    <n v="44.14"/>
    <n v="18.8"/>
    <s v="Current"/>
    <n v="0"/>
    <x v="0"/>
    <n v="39"/>
    <s v="AL"/>
    <s v="Master"/>
    <s v="Full-Time"/>
    <x v="7"/>
    <n v="79782"/>
    <n v="615"/>
    <s v="Own"/>
    <n v="3"/>
    <n v="1207"/>
    <x v="1"/>
    <x v="2"/>
    <x v="1"/>
    <x v="0"/>
  </r>
  <r>
    <s v="LN-00018"/>
    <s v="BRW-0013"/>
    <d v="2024-07-13T00:00:00"/>
    <s v="Wedding"/>
    <x v="17"/>
    <n v="60"/>
    <n v="13.85"/>
    <n v="795.44"/>
    <n v="30.1"/>
    <s v="Current"/>
    <n v="0"/>
    <x v="0"/>
    <n v="39"/>
    <s v="AL"/>
    <s v="Master"/>
    <s v="Full-Time"/>
    <x v="7"/>
    <n v="79782"/>
    <n v="615"/>
    <s v="Own"/>
    <n v="3"/>
    <n v="1207"/>
    <x v="1"/>
    <x v="2"/>
    <x v="1"/>
    <x v="0"/>
  </r>
  <r>
    <s v="LN-00019"/>
    <s v="BRW-0014"/>
    <d v="2024-03-09T00:00:00"/>
    <s v="Education"/>
    <x v="18"/>
    <n v="12"/>
    <n v="8.4499999999999993"/>
    <n v="1525.94"/>
    <n v="41.4"/>
    <s v="Default"/>
    <n v="63"/>
    <x v="1"/>
    <n v="54"/>
    <s v="IN"/>
    <s v="Master"/>
    <s v="Full-Time"/>
    <x v="3"/>
    <n v="63730"/>
    <n v="850"/>
    <s v="Rent"/>
    <n v="2"/>
    <n v="671"/>
    <x v="3"/>
    <x v="1"/>
    <x v="1"/>
    <x v="2"/>
  </r>
  <r>
    <s v="LN-00020"/>
    <s v="BRW-0015"/>
    <d v="2025-02-01T00:00:00"/>
    <s v="Debt Consolidation"/>
    <x v="19"/>
    <n v="12"/>
    <n v="11.24"/>
    <n v="1822.97"/>
    <n v="52.5"/>
    <s v="Paid Off"/>
    <n v="0"/>
    <x v="0"/>
    <n v="32"/>
    <s v="CA"/>
    <s v="Bachelor"/>
    <s v="Self-Employed"/>
    <x v="11"/>
    <n v="74436"/>
    <n v="535"/>
    <s v="Mortgage"/>
    <n v="0"/>
    <n v="1435"/>
    <x v="0"/>
    <x v="0"/>
    <x v="0"/>
    <x v="1"/>
  </r>
  <r>
    <s v="LN-00021"/>
    <s v="BRW-0016"/>
    <d v="2024-08-01T00:00:00"/>
    <s v="Education"/>
    <x v="20"/>
    <n v="12"/>
    <n v="15.15"/>
    <n v="2086.6"/>
    <n v="88.1"/>
    <s v="Late"/>
    <n v="15"/>
    <x v="0"/>
    <n v="41"/>
    <s v="OR"/>
    <s v="Associate"/>
    <s v="Full-Time"/>
    <x v="9"/>
    <n v="55611"/>
    <n v="570"/>
    <s v="Rent"/>
    <n v="0"/>
    <n v="1994"/>
    <x v="0"/>
    <x v="3"/>
    <x v="1"/>
    <x v="2"/>
  </r>
  <r>
    <s v="LN-00022"/>
    <s v="BRW-0017"/>
    <d v="2024-02-29T00:00:00"/>
    <s v="Debt Consolidation"/>
    <x v="21"/>
    <n v="48"/>
    <n v="13.03"/>
    <n v="625.42999999999995"/>
    <n v="69.400000000000006"/>
    <s v="Current"/>
    <n v="0"/>
    <x v="0"/>
    <n v="30"/>
    <s v="AZ"/>
    <s v="High School"/>
    <s v="Full-Time"/>
    <x v="5"/>
    <n v="41753"/>
    <n v="665"/>
    <s v="Rent"/>
    <n v="4"/>
    <n v="1790"/>
    <x v="4"/>
    <x v="0"/>
    <x v="1"/>
    <x v="1"/>
  </r>
  <r>
    <s v="LN-00023"/>
    <s v="BRW-0018"/>
    <d v="2024-08-24T00:00:00"/>
    <s v="Auto Loan"/>
    <x v="22"/>
    <n v="60"/>
    <n v="8.39"/>
    <n v="147.34"/>
    <n v="18.899999999999999"/>
    <s v="Current"/>
    <n v="0"/>
    <x v="0"/>
    <n v="68"/>
    <s v="MA"/>
    <s v="Bachelor"/>
    <s v="Self-Employed"/>
    <x v="12"/>
    <n v="66055"/>
    <n v="726"/>
    <s v="Rent"/>
    <n v="0"/>
    <n v="893"/>
    <x v="2"/>
    <x v="2"/>
    <x v="0"/>
    <x v="1"/>
  </r>
  <r>
    <s v="LN-00024"/>
    <s v="BRW-0019"/>
    <d v="2025-01-01T00:00:00"/>
    <s v="Medical Expenses"/>
    <x v="23"/>
    <n v="12"/>
    <n v="15.03"/>
    <n v="1236.73"/>
    <n v="112.8"/>
    <s v="Current"/>
    <n v="0"/>
    <x v="0"/>
    <n v="43"/>
    <s v="TX"/>
    <s v="High School"/>
    <s v="Part-Time"/>
    <x v="9"/>
    <n v="23712"/>
    <n v="528"/>
    <s v="Rent"/>
    <n v="0"/>
    <n v="993"/>
    <x v="0"/>
    <x v="3"/>
    <x v="1"/>
    <x v="0"/>
  </r>
  <r>
    <s v="LN-00025"/>
    <s v="BRW-0020"/>
    <d v="2025-03-29T00:00:00"/>
    <s v="Medical Expenses"/>
    <x v="21"/>
    <n v="24"/>
    <n v="12.02"/>
    <n v="1097.03"/>
    <n v="62.4"/>
    <s v="Late"/>
    <n v="15"/>
    <x v="0"/>
    <n v="43"/>
    <s v="UT"/>
    <s v="High School"/>
    <s v="Full-Time"/>
    <x v="13"/>
    <n v="45948"/>
    <n v="639"/>
    <s v="Own"/>
    <n v="3"/>
    <n v="1294"/>
    <x v="1"/>
    <x v="0"/>
    <x v="1"/>
    <x v="0"/>
  </r>
  <r>
    <s v="LN-00026"/>
    <s v="BRW-0021"/>
    <d v="2024-08-07T00:00:00"/>
    <s v="Education"/>
    <x v="24"/>
    <n v="36"/>
    <n v="13.31"/>
    <n v="1096.53"/>
    <n v="60"/>
    <s v="Default"/>
    <n v="170"/>
    <x v="1"/>
    <n v="37"/>
    <s v="AZ"/>
    <s v="Master"/>
    <s v="Contract"/>
    <x v="14"/>
    <n v="70937"/>
    <n v="584"/>
    <s v="Mortgage"/>
    <n v="1"/>
    <n v="2450"/>
    <x v="0"/>
    <x v="0"/>
    <x v="1"/>
    <x v="2"/>
  </r>
  <r>
    <s v="LN-00027"/>
    <s v="BRW-0021"/>
    <d v="2024-02-05T00:00:00"/>
    <s v="Auto Loan"/>
    <x v="15"/>
    <n v="48"/>
    <n v="10.27"/>
    <n v="604.16999999999996"/>
    <n v="51.7"/>
    <s v="Current"/>
    <n v="0"/>
    <x v="0"/>
    <n v="37"/>
    <s v="AZ"/>
    <s v="Master"/>
    <s v="Contract"/>
    <x v="14"/>
    <n v="70937"/>
    <n v="584"/>
    <s v="Mortgage"/>
    <n v="1"/>
    <n v="2450"/>
    <x v="0"/>
    <x v="0"/>
    <x v="1"/>
    <x v="1"/>
  </r>
  <r>
    <s v="LN-00028"/>
    <s v="BRW-0022"/>
    <d v="2024-01-23T00:00:00"/>
    <s v="Auto Loan"/>
    <x v="25"/>
    <n v="24"/>
    <n v="12.65"/>
    <n v="350.59"/>
    <n v="29.2"/>
    <s v="Late"/>
    <n v="15"/>
    <x v="0"/>
    <n v="65"/>
    <s v="OH"/>
    <s v="Bachelor"/>
    <s v="Part-Time"/>
    <x v="0"/>
    <n v="24456"/>
    <n v="698"/>
    <s v="Own"/>
    <n v="1"/>
    <n v="244"/>
    <x v="4"/>
    <x v="2"/>
    <x v="1"/>
    <x v="1"/>
  </r>
  <r>
    <s v="LN-00029"/>
    <s v="BRW-0022"/>
    <d v="2024-02-08T00:00:00"/>
    <s v="Moving"/>
    <x v="26"/>
    <n v="60"/>
    <n v="9.14"/>
    <n v="283.24"/>
    <n v="25.9"/>
    <s v="Current"/>
    <n v="0"/>
    <x v="0"/>
    <n v="65"/>
    <s v="OH"/>
    <s v="Bachelor"/>
    <s v="Part-Time"/>
    <x v="0"/>
    <n v="24456"/>
    <n v="698"/>
    <s v="Own"/>
    <n v="1"/>
    <n v="244"/>
    <x v="4"/>
    <x v="2"/>
    <x v="1"/>
    <x v="0"/>
  </r>
  <r>
    <s v="LN-00030"/>
    <s v="BRW-0023"/>
    <d v="2024-08-10T00:00:00"/>
    <s v="Business Loan"/>
    <x v="27"/>
    <n v="12"/>
    <n v="10.17"/>
    <n v="3009.43"/>
    <n v="87.7"/>
    <s v="Paid Off"/>
    <n v="0"/>
    <x v="0"/>
    <n v="33"/>
    <s v="MO"/>
    <s v="Associate"/>
    <s v="Full-Time"/>
    <x v="15"/>
    <n v="72054"/>
    <n v="761"/>
    <s v="Rent"/>
    <n v="0"/>
    <n v="2258"/>
    <x v="3"/>
    <x v="3"/>
    <x v="1"/>
    <x v="2"/>
  </r>
  <r>
    <s v="LN-00031"/>
    <s v="BRW-0023"/>
    <d v="2024-04-07T00:00:00"/>
    <s v="Medical Expenses"/>
    <x v="28"/>
    <n v="60"/>
    <n v="11.41"/>
    <n v="992.02"/>
    <n v="54.1"/>
    <s v="Paid Off"/>
    <n v="0"/>
    <x v="0"/>
    <n v="33"/>
    <s v="MO"/>
    <s v="Associate"/>
    <s v="Full-Time"/>
    <x v="15"/>
    <n v="72054"/>
    <n v="761"/>
    <s v="Rent"/>
    <n v="0"/>
    <n v="2258"/>
    <x v="3"/>
    <x v="0"/>
    <x v="1"/>
    <x v="0"/>
  </r>
  <r>
    <s v="LN-00032"/>
    <s v="BRW-0024"/>
    <d v="2025-03-20T00:00:00"/>
    <s v="Home Improvement"/>
    <x v="29"/>
    <n v="36"/>
    <n v="10.72"/>
    <n v="1506.41"/>
    <n v="47.5"/>
    <s v="Late"/>
    <n v="15"/>
    <x v="0"/>
    <n v="56"/>
    <s v="TN"/>
    <s v="Master"/>
    <s v="Retired"/>
    <x v="16"/>
    <n v="80449"/>
    <n v="661"/>
    <s v="Mortgage"/>
    <n v="0"/>
    <n v="1679"/>
    <x v="4"/>
    <x v="1"/>
    <x v="2"/>
    <x v="2"/>
  </r>
  <r>
    <s v="LN-00033"/>
    <s v="BRW-0025"/>
    <d v="2025-06-20T00:00:00"/>
    <s v="Wedding"/>
    <x v="24"/>
    <n v="48"/>
    <n v="7.65"/>
    <n v="785.67"/>
    <n v="58.9"/>
    <s v="Default"/>
    <n v="168"/>
    <x v="1"/>
    <n v="25"/>
    <s v="AL"/>
    <s v="High School"/>
    <s v="Full-Time"/>
    <x v="9"/>
    <n v="36142"/>
    <n v="757"/>
    <s v="Mortgage"/>
    <n v="4"/>
    <n v="987"/>
    <x v="3"/>
    <x v="0"/>
    <x v="1"/>
    <x v="0"/>
  </r>
  <r>
    <s v="LN-00034"/>
    <s v="BRW-0026"/>
    <d v="2025-02-06T00:00:00"/>
    <s v="Education"/>
    <x v="30"/>
    <n v="12"/>
    <n v="14.05"/>
    <n v="1113.6500000000001"/>
    <n v="58.7"/>
    <s v="Current"/>
    <n v="0"/>
    <x v="0"/>
    <n v="67"/>
    <s v="NJ"/>
    <s v="Bachelor"/>
    <s v="Full-Time"/>
    <x v="17"/>
    <n v="54489"/>
    <n v="559"/>
    <s v="Own"/>
    <n v="0"/>
    <n v="1553"/>
    <x v="0"/>
    <x v="0"/>
    <x v="1"/>
    <x v="2"/>
  </r>
  <r>
    <s v="LN-00035"/>
    <s v="BRW-0027"/>
    <d v="2025-05-02T00:00:00"/>
    <s v="Major Purchase"/>
    <x v="31"/>
    <n v="24"/>
    <n v="8.51"/>
    <n v="745.55"/>
    <n v="53.8"/>
    <s v="Current"/>
    <n v="0"/>
    <x v="0"/>
    <n v="54"/>
    <s v="NY"/>
    <s v="Master"/>
    <s v="Full-Time"/>
    <x v="6"/>
    <n v="59480"/>
    <n v="790"/>
    <s v="Rent"/>
    <n v="2"/>
    <n v="1921"/>
    <x v="3"/>
    <x v="0"/>
    <x v="1"/>
    <x v="1"/>
  </r>
  <r>
    <s v="LN-00036"/>
    <s v="BRW-0028"/>
    <d v="2024-07-21T00:00:00"/>
    <s v="Moving"/>
    <x v="32"/>
    <n v="24"/>
    <n v="8.64"/>
    <n v="1233.5899999999999"/>
    <n v="65.3"/>
    <s v="Current"/>
    <n v="0"/>
    <x v="0"/>
    <n v="37"/>
    <s v="AZ"/>
    <s v="Bachelor"/>
    <s v="Retired"/>
    <x v="18"/>
    <n v="46167"/>
    <n v="826"/>
    <s v="Mortgage"/>
    <n v="2"/>
    <n v="1279"/>
    <x v="3"/>
    <x v="0"/>
    <x v="2"/>
    <x v="0"/>
  </r>
  <r>
    <s v="LN-00037"/>
    <s v="BRW-0029"/>
    <d v="2024-04-01T00:00:00"/>
    <s v="Moving"/>
    <x v="33"/>
    <n v="48"/>
    <n v="10.5"/>
    <n v="138.26"/>
    <n v="29.3"/>
    <s v="Default"/>
    <n v="135"/>
    <x v="1"/>
    <n v="42"/>
    <s v="MN"/>
    <s v="Master"/>
    <s v="Full-Time"/>
    <x v="5"/>
    <n v="116049"/>
    <n v="667"/>
    <s v="Mortgage"/>
    <n v="2"/>
    <n v="2694"/>
    <x v="4"/>
    <x v="2"/>
    <x v="1"/>
    <x v="0"/>
  </r>
  <r>
    <s v="LN-00038"/>
    <s v="BRW-0030"/>
    <d v="2024-06-22T00:00:00"/>
    <s v="Education"/>
    <x v="34"/>
    <n v="12"/>
    <n v="14.25"/>
    <n v="494.48"/>
    <n v="77.2"/>
    <s v="Paid Off"/>
    <n v="0"/>
    <x v="0"/>
    <n v="26"/>
    <s v="IN"/>
    <s v="High School"/>
    <s v="Part-Time"/>
    <x v="10"/>
    <n v="23219"/>
    <n v="576"/>
    <s v="Mortgage"/>
    <n v="0"/>
    <n v="999"/>
    <x v="0"/>
    <x v="3"/>
    <x v="1"/>
    <x v="2"/>
  </r>
  <r>
    <s v="LN-00039"/>
    <s v="BRW-0031"/>
    <d v="2025-01-17T00:00:00"/>
    <s v="Medical Expenses"/>
    <x v="35"/>
    <n v="24"/>
    <n v="7.45"/>
    <n v="2086.9299999999998"/>
    <n v="42.1"/>
    <s v="Current"/>
    <n v="0"/>
    <x v="0"/>
    <n v="26"/>
    <s v="KY"/>
    <s v="Master"/>
    <s v="Full-Time"/>
    <x v="6"/>
    <n v="68134"/>
    <n v="813"/>
    <s v="Mortgage"/>
    <n v="2"/>
    <n v="306"/>
    <x v="3"/>
    <x v="1"/>
    <x v="1"/>
    <x v="0"/>
  </r>
  <r>
    <s v="LN-00040"/>
    <s v="BRW-0032"/>
    <d v="2024-04-23T00:00:00"/>
    <s v="Business Loan"/>
    <x v="36"/>
    <n v="36"/>
    <n v="10.02"/>
    <n v="1500.86"/>
    <n v="37.5"/>
    <s v="Current"/>
    <n v="0"/>
    <x v="0"/>
    <n v="57"/>
    <s v="FL"/>
    <s v="Associate"/>
    <s v="Self-Employed"/>
    <x v="19"/>
    <n v="72778"/>
    <n v="603"/>
    <s v="Own"/>
    <n v="2"/>
    <n v="774"/>
    <x v="1"/>
    <x v="1"/>
    <x v="0"/>
    <x v="2"/>
  </r>
  <r>
    <s v="LN-00041"/>
    <s v="BRW-0033"/>
    <d v="2024-05-24T00:00:00"/>
    <s v="Business Loan"/>
    <x v="37"/>
    <n v="36"/>
    <n v="8.58"/>
    <n v="511.99"/>
    <n v="58.8"/>
    <s v="Current"/>
    <n v="0"/>
    <x v="0"/>
    <n v="40"/>
    <s v="NC"/>
    <s v="Bachelor"/>
    <s v="Self-Employed"/>
    <x v="5"/>
    <n v="53589"/>
    <n v="850"/>
    <s v="Mortgage"/>
    <n v="3"/>
    <n v="2112"/>
    <x v="3"/>
    <x v="0"/>
    <x v="0"/>
    <x v="2"/>
  </r>
  <r>
    <s v="LN-00042"/>
    <s v="BRW-0034"/>
    <d v="2024-10-04T00:00:00"/>
    <s v="Moving"/>
    <x v="38"/>
    <n v="36"/>
    <n v="9.34"/>
    <n v="137.41999999999999"/>
    <n v="30.9"/>
    <s v="Default"/>
    <n v="32"/>
    <x v="1"/>
    <n v="27"/>
    <s v="NC"/>
    <s v="Bachelor"/>
    <s v="Contract"/>
    <x v="9"/>
    <n v="43412"/>
    <n v="700"/>
    <s v="Mortgage"/>
    <n v="0"/>
    <n v="980"/>
    <x v="2"/>
    <x v="2"/>
    <x v="1"/>
    <x v="0"/>
  </r>
  <r>
    <s v="LN-00043"/>
    <s v="BRW-0034"/>
    <d v="2024-01-20T00:00:00"/>
    <s v="Home Improvement"/>
    <x v="39"/>
    <n v="36"/>
    <n v="12.65"/>
    <n v="352.02"/>
    <n v="36.799999999999997"/>
    <s v="Late"/>
    <n v="15"/>
    <x v="0"/>
    <n v="27"/>
    <s v="NC"/>
    <s v="Bachelor"/>
    <s v="Contract"/>
    <x v="9"/>
    <n v="43412"/>
    <n v="700"/>
    <s v="Mortgage"/>
    <n v="0"/>
    <n v="980"/>
    <x v="2"/>
    <x v="1"/>
    <x v="1"/>
    <x v="2"/>
  </r>
  <r>
    <s v="LN-00044"/>
    <s v="BRW-0035"/>
    <d v="2025-06-28T00:00:00"/>
    <s v="Moving"/>
    <x v="40"/>
    <n v="36"/>
    <n v="12.32"/>
    <n v="226.9"/>
    <n v="18.399999999999999"/>
    <s v="Default"/>
    <n v="80"/>
    <x v="1"/>
    <n v="67"/>
    <s v="VA"/>
    <s v="Bachelor"/>
    <s v="Full-Time"/>
    <x v="17"/>
    <n v="45400"/>
    <n v="606"/>
    <s v="Own"/>
    <n v="2"/>
    <n v="469"/>
    <x v="1"/>
    <x v="2"/>
    <x v="1"/>
    <x v="0"/>
  </r>
  <r>
    <s v="LN-00045"/>
    <s v="BRW-0035"/>
    <d v="2025-06-26T00:00:00"/>
    <s v="Moving"/>
    <x v="41"/>
    <n v="12"/>
    <n v="10.1"/>
    <n v="2542.11"/>
    <n v="79.599999999999994"/>
    <s v="Default"/>
    <n v="155"/>
    <x v="1"/>
    <n v="67"/>
    <s v="VA"/>
    <s v="Bachelor"/>
    <s v="Full-Time"/>
    <x v="17"/>
    <n v="45400"/>
    <n v="606"/>
    <s v="Own"/>
    <n v="2"/>
    <n v="469"/>
    <x v="1"/>
    <x v="3"/>
    <x v="1"/>
    <x v="0"/>
  </r>
  <r>
    <s v="LN-00046"/>
    <s v="BRW-0036"/>
    <d v="2024-08-29T00:00:00"/>
    <s v="Medical Expenses"/>
    <x v="42"/>
    <n v="36"/>
    <n v="13.96"/>
    <n v="437.23"/>
    <n v="32.200000000000003"/>
    <s v="Late"/>
    <n v="30"/>
    <x v="0"/>
    <n v="30"/>
    <s v="GA"/>
    <s v="High School"/>
    <s v="Full-Time"/>
    <x v="6"/>
    <n v="55244"/>
    <n v="550"/>
    <s v="Own"/>
    <n v="2"/>
    <n v="1044"/>
    <x v="0"/>
    <x v="2"/>
    <x v="1"/>
    <x v="0"/>
  </r>
  <r>
    <s v="LN-00047"/>
    <s v="BRW-0037"/>
    <d v="2024-10-13T00:00:00"/>
    <s v="Auto Loan"/>
    <x v="2"/>
    <n v="12"/>
    <n v="14.32"/>
    <n v="4020.22"/>
    <n v="93.8"/>
    <s v="Default"/>
    <n v="117"/>
    <x v="1"/>
    <n v="57"/>
    <s v="KY"/>
    <s v="Master"/>
    <s v="Full-Time"/>
    <x v="8"/>
    <n v="107852"/>
    <n v="624"/>
    <s v="Rent"/>
    <n v="3"/>
    <n v="4410"/>
    <x v="1"/>
    <x v="3"/>
    <x v="1"/>
    <x v="1"/>
  </r>
  <r>
    <s v="LN-00048"/>
    <s v="BRW-0038"/>
    <d v="2024-08-20T00:00:00"/>
    <s v="Medical Expenses"/>
    <x v="43"/>
    <n v="60"/>
    <n v="12.11"/>
    <n v="131.57"/>
    <n v="29.4"/>
    <s v="Current"/>
    <n v="0"/>
    <x v="0"/>
    <n v="23"/>
    <s v="KY"/>
    <s v="High School"/>
    <s v="Retired"/>
    <x v="18"/>
    <n v="29964"/>
    <n v="735"/>
    <s v="Mortgage"/>
    <n v="2"/>
    <n v="602"/>
    <x v="2"/>
    <x v="2"/>
    <x v="2"/>
    <x v="0"/>
  </r>
  <r>
    <s v="LN-00049"/>
    <s v="BRW-0038"/>
    <d v="2024-05-21T00:00:00"/>
    <s v="Auto Loan"/>
    <x v="44"/>
    <n v="60"/>
    <n v="8.41"/>
    <n v="309.14999999999998"/>
    <n v="36.5"/>
    <s v="Current"/>
    <n v="0"/>
    <x v="0"/>
    <n v="23"/>
    <s v="KY"/>
    <s v="High School"/>
    <s v="Retired"/>
    <x v="18"/>
    <n v="29964"/>
    <n v="735"/>
    <s v="Mortgage"/>
    <n v="2"/>
    <n v="602"/>
    <x v="2"/>
    <x v="1"/>
    <x v="2"/>
    <x v="1"/>
  </r>
  <r>
    <s v="LN-00050"/>
    <s v="BRW-0039"/>
    <d v="2024-06-10T00:00:00"/>
    <s v="Moving"/>
    <x v="45"/>
    <n v="24"/>
    <n v="10.199999999999999"/>
    <n v="1044.96"/>
    <n v="26.2"/>
    <s v="Paid Off"/>
    <n v="0"/>
    <x v="0"/>
    <n v="24"/>
    <s v="KY"/>
    <s v="Master"/>
    <s v="Full-Time"/>
    <x v="9"/>
    <n v="124663"/>
    <n v="785"/>
    <s v="Mortgage"/>
    <n v="3"/>
    <n v="1677"/>
    <x v="3"/>
    <x v="2"/>
    <x v="1"/>
    <x v="0"/>
  </r>
  <r>
    <s v="LN-00051"/>
    <s v="BRW-0040"/>
    <d v="2025-02-27T00:00:00"/>
    <s v="Education"/>
    <x v="46"/>
    <n v="12"/>
    <n v="12.63"/>
    <n v="802.29"/>
    <n v="65.400000000000006"/>
    <s v="Paid Off"/>
    <n v="0"/>
    <x v="0"/>
    <n v="64"/>
    <s v="WA"/>
    <s v="High School"/>
    <s v="Full-Time"/>
    <x v="2"/>
    <n v="52825"/>
    <n v="672"/>
    <s v="Mortgage"/>
    <n v="2"/>
    <n v="2077"/>
    <x v="4"/>
    <x v="0"/>
    <x v="1"/>
    <x v="2"/>
  </r>
  <r>
    <s v="LN-00052"/>
    <s v="BRW-0041"/>
    <d v="2024-09-30T00:00:00"/>
    <s v="Auto Loan"/>
    <x v="47"/>
    <n v="24"/>
    <n v="10.24"/>
    <n v="508.81"/>
    <n v="39.299999999999997"/>
    <s v="Current"/>
    <n v="0"/>
    <x v="0"/>
    <n v="43"/>
    <s v="NC"/>
    <s v="Master"/>
    <s v="Full-Time"/>
    <x v="4"/>
    <n v="137860"/>
    <n v="641"/>
    <s v="Rent"/>
    <n v="0"/>
    <n v="4001"/>
    <x v="1"/>
    <x v="1"/>
    <x v="1"/>
    <x v="1"/>
  </r>
  <r>
    <s v="LN-00053"/>
    <s v="BRW-0041"/>
    <d v="2025-04-25T00:00:00"/>
    <s v="Business Loan"/>
    <x v="48"/>
    <n v="48"/>
    <n v="9.99"/>
    <n v="486.87"/>
    <n v="39.1"/>
    <s v="Paid Off"/>
    <n v="0"/>
    <x v="0"/>
    <n v="43"/>
    <s v="NC"/>
    <s v="Master"/>
    <s v="Full-Time"/>
    <x v="4"/>
    <n v="137860"/>
    <n v="641"/>
    <s v="Rent"/>
    <n v="0"/>
    <n v="4001"/>
    <x v="1"/>
    <x v="1"/>
    <x v="1"/>
    <x v="2"/>
  </r>
  <r>
    <s v="LN-00054"/>
    <s v="BRW-0042"/>
    <d v="2024-01-16T00:00:00"/>
    <s v="Medical Expenses"/>
    <x v="49"/>
    <n v="48"/>
    <n v="10.39"/>
    <n v="329.6"/>
    <n v="10.9"/>
    <s v="Late"/>
    <n v="30"/>
    <x v="0"/>
    <n v="44"/>
    <s v="MD"/>
    <s v="Master"/>
    <s v="Full-Time"/>
    <x v="20"/>
    <n v="106612"/>
    <n v="806"/>
    <s v="Mortgage"/>
    <n v="0"/>
    <n v="641"/>
    <x v="3"/>
    <x v="2"/>
    <x v="1"/>
    <x v="0"/>
  </r>
  <r>
    <s v="LN-00055"/>
    <s v="BRW-0043"/>
    <d v="2025-05-16T00:00:00"/>
    <s v="Business Loan"/>
    <x v="50"/>
    <n v="48"/>
    <n v="13.92"/>
    <n v="106.42"/>
    <n v="41.3"/>
    <s v="Late"/>
    <n v="15"/>
    <x v="0"/>
    <n v="49"/>
    <s v="MN"/>
    <s v="High School"/>
    <s v="Retired"/>
    <x v="21"/>
    <n v="24811"/>
    <n v="625"/>
    <s v="Mortgage"/>
    <n v="3"/>
    <n v="747"/>
    <x v="1"/>
    <x v="1"/>
    <x v="2"/>
    <x v="2"/>
  </r>
  <r>
    <s v="LN-00056"/>
    <s v="BRW-0044"/>
    <d v="2025-06-21T00:00:00"/>
    <s v="Debt Consolidation"/>
    <x v="51"/>
    <n v="36"/>
    <n v="10.34"/>
    <n v="1348.97"/>
    <n v="31.5"/>
    <s v="Current"/>
    <n v="0"/>
    <x v="0"/>
    <n v="64"/>
    <s v="SC"/>
    <s v="Master"/>
    <s v="Self-Employed"/>
    <x v="22"/>
    <n v="80367"/>
    <n v="698"/>
    <s v="Mortgage"/>
    <n v="0"/>
    <n v="761"/>
    <x v="4"/>
    <x v="2"/>
    <x v="0"/>
    <x v="1"/>
  </r>
  <r>
    <s v="LN-00057"/>
    <s v="BRW-0045"/>
    <d v="2025-02-09T00:00:00"/>
    <s v="Vacation"/>
    <x v="52"/>
    <n v="24"/>
    <n v="12.11"/>
    <n v="188.5"/>
    <n v="7.6"/>
    <s v="Current"/>
    <n v="0"/>
    <x v="0"/>
    <n v="48"/>
    <s v="WA"/>
    <s v="Bachelor"/>
    <s v="Full-Time"/>
    <x v="3"/>
    <n v="88330"/>
    <n v="629"/>
    <s v="Mortgage"/>
    <n v="1"/>
    <n v="369"/>
    <x v="1"/>
    <x v="2"/>
    <x v="1"/>
    <x v="0"/>
  </r>
  <r>
    <s v="LN-00058"/>
    <s v="BRW-0046"/>
    <d v="2024-10-19T00:00:00"/>
    <s v="Debt Consolidation"/>
    <x v="53"/>
    <n v="36"/>
    <n v="12.3"/>
    <n v="480.35"/>
    <n v="38.700000000000003"/>
    <s v="Late"/>
    <n v="0"/>
    <x v="0"/>
    <n v="40"/>
    <s v="MN"/>
    <s v="Associate"/>
    <s v="Self-Employed"/>
    <x v="7"/>
    <n v="57427"/>
    <n v="694"/>
    <s v="Mortgage"/>
    <n v="0"/>
    <n v="1371"/>
    <x v="4"/>
    <x v="1"/>
    <x v="0"/>
    <x v="1"/>
  </r>
  <r>
    <s v="LN-00059"/>
    <s v="BRW-0047"/>
    <d v="2025-05-27T00:00:00"/>
    <s v="Moving"/>
    <x v="54"/>
    <n v="48"/>
    <n v="6.29"/>
    <n v="573.91999999999996"/>
    <n v="28.8"/>
    <s v="Paid Off"/>
    <n v="0"/>
    <x v="0"/>
    <n v="32"/>
    <s v="LA"/>
    <s v="Bachelor"/>
    <s v="Full-Time"/>
    <x v="6"/>
    <n v="82953"/>
    <n v="850"/>
    <s v="Own"/>
    <n v="0"/>
    <n v="1418"/>
    <x v="3"/>
    <x v="2"/>
    <x v="1"/>
    <x v="0"/>
  </r>
  <r>
    <s v="LN-00060"/>
    <s v="BRW-0048"/>
    <d v="2024-07-25T00:00:00"/>
    <s v="Medical Expenses"/>
    <x v="55"/>
    <n v="12"/>
    <n v="6.86"/>
    <n v="1348.81"/>
    <n v="64.900000000000006"/>
    <s v="Current"/>
    <n v="0"/>
    <x v="0"/>
    <n v="34"/>
    <s v="MA"/>
    <s v="High School"/>
    <s v="Full-Time"/>
    <x v="14"/>
    <n v="57034"/>
    <n v="842"/>
    <s v="Rent"/>
    <n v="1"/>
    <n v="1734"/>
    <x v="3"/>
    <x v="0"/>
    <x v="1"/>
    <x v="0"/>
  </r>
  <r>
    <s v="LN-00061"/>
    <s v="BRW-0049"/>
    <d v="2025-01-06T00:00:00"/>
    <s v="Medical Expenses"/>
    <x v="56"/>
    <n v="12"/>
    <n v="13.28"/>
    <n v="706.64"/>
    <n v="53"/>
    <s v="Default"/>
    <n v="128"/>
    <x v="1"/>
    <n v="34"/>
    <s v="CT"/>
    <s v="Master"/>
    <s v="Full-Time"/>
    <x v="16"/>
    <n v="88890"/>
    <n v="615"/>
    <s v="Rent"/>
    <n v="2"/>
    <n v="3222"/>
    <x v="1"/>
    <x v="0"/>
    <x v="1"/>
    <x v="0"/>
  </r>
  <r>
    <s v="LN-00062"/>
    <s v="BRW-0050"/>
    <d v="2024-06-23T00:00:00"/>
    <s v="Moving"/>
    <x v="57"/>
    <n v="60"/>
    <n v="8.32"/>
    <n v="198.17"/>
    <n v="13"/>
    <s v="Late"/>
    <n v="0"/>
    <x v="0"/>
    <n v="28"/>
    <s v="GA"/>
    <s v="Master"/>
    <s v="Full-Time"/>
    <x v="23"/>
    <n v="123592"/>
    <n v="815"/>
    <s v="Own"/>
    <n v="3"/>
    <n v="1139"/>
    <x v="3"/>
    <x v="2"/>
    <x v="1"/>
    <x v="0"/>
  </r>
  <r>
    <s v="LN-00063"/>
    <s v="BRW-0051"/>
    <d v="2025-04-01T00:00:00"/>
    <s v="Medical Expenses"/>
    <x v="58"/>
    <n v="48"/>
    <n v="7.37"/>
    <n v="873.08"/>
    <n v="53.3"/>
    <s v="Paid Off"/>
    <n v="0"/>
    <x v="0"/>
    <n v="30"/>
    <s v="CT"/>
    <s v="Master"/>
    <s v="Self-Employed"/>
    <x v="6"/>
    <n v="139361"/>
    <n v="850"/>
    <s v="Rent"/>
    <n v="1"/>
    <n v="5313"/>
    <x v="3"/>
    <x v="0"/>
    <x v="0"/>
    <x v="0"/>
  </r>
  <r>
    <s v="LN-00064"/>
    <s v="BRW-0052"/>
    <d v="2025-05-25T00:00:00"/>
    <s v="Debt Consolidation"/>
    <x v="59"/>
    <n v="48"/>
    <n v="12.22"/>
    <n v="372.83"/>
    <n v="43.4"/>
    <s v="Paid Off"/>
    <n v="0"/>
    <x v="0"/>
    <n v="54"/>
    <s v="LA"/>
    <s v="Bachelor"/>
    <s v="Contract"/>
    <x v="24"/>
    <n v="69049"/>
    <n v="616"/>
    <s v="Mortgage"/>
    <n v="0"/>
    <n v="2122"/>
    <x v="1"/>
    <x v="1"/>
    <x v="1"/>
    <x v="1"/>
  </r>
  <r>
    <s v="LN-00065"/>
    <s v="BRW-0052"/>
    <d v="2024-03-22T00:00:00"/>
    <s v="Business Loan"/>
    <x v="60"/>
    <n v="48"/>
    <n v="11.78"/>
    <n v="687.12"/>
    <n v="48.8"/>
    <s v="Paid Off"/>
    <n v="0"/>
    <x v="0"/>
    <n v="54"/>
    <s v="LA"/>
    <s v="Bachelor"/>
    <s v="Contract"/>
    <x v="24"/>
    <n v="69049"/>
    <n v="616"/>
    <s v="Mortgage"/>
    <n v="0"/>
    <n v="2122"/>
    <x v="1"/>
    <x v="1"/>
    <x v="1"/>
    <x v="2"/>
  </r>
  <r>
    <s v="LN-00066"/>
    <s v="BRW-0053"/>
    <d v="2024-12-23T00:00:00"/>
    <s v="Moving"/>
    <x v="61"/>
    <n v="24"/>
    <n v="9.39"/>
    <n v="550.37"/>
    <n v="18.600000000000001"/>
    <s v="Default"/>
    <n v="38"/>
    <x v="1"/>
    <n v="55"/>
    <s v="NJ"/>
    <s v="Bachelor"/>
    <s v="Full-Time"/>
    <x v="8"/>
    <n v="68663"/>
    <n v="681"/>
    <s v="Mortgage"/>
    <n v="3"/>
    <n v="516"/>
    <x v="4"/>
    <x v="2"/>
    <x v="1"/>
    <x v="0"/>
  </r>
  <r>
    <s v="LN-00067"/>
    <s v="BRW-0054"/>
    <d v="2024-07-01T00:00:00"/>
    <s v="Wedding"/>
    <x v="62"/>
    <n v="12"/>
    <n v="11.09"/>
    <n v="3333.57"/>
    <n v="72.599999999999994"/>
    <s v="Default"/>
    <n v="102"/>
    <x v="1"/>
    <n v="31"/>
    <s v="MO"/>
    <s v="Associate"/>
    <s v="Self-Employed"/>
    <x v="0"/>
    <n v="62036"/>
    <n v="567"/>
    <s v="Mortgage"/>
    <n v="1"/>
    <n v="419"/>
    <x v="0"/>
    <x v="0"/>
    <x v="0"/>
    <x v="0"/>
  </r>
  <r>
    <s v="LN-00068"/>
    <s v="BRW-0055"/>
    <d v="2025-01-03T00:00:00"/>
    <s v="Wedding"/>
    <x v="63"/>
    <n v="48"/>
    <n v="14.5"/>
    <n v="799.76"/>
    <n v="14.8"/>
    <s v="Current"/>
    <n v="0"/>
    <x v="0"/>
    <n v="48"/>
    <s v="MD"/>
    <s v="Bachelor"/>
    <s v="Self-Employed"/>
    <x v="25"/>
    <n v="100958"/>
    <n v="555"/>
    <s v="Rent"/>
    <n v="1"/>
    <n v="445"/>
    <x v="0"/>
    <x v="2"/>
    <x v="0"/>
    <x v="0"/>
  </r>
  <r>
    <s v="LN-00069"/>
    <s v="BRW-0056"/>
    <d v="2025-04-27T00:00:00"/>
    <s v="Major Purchase"/>
    <x v="64"/>
    <n v="60"/>
    <n v="7.84"/>
    <n v="775.68"/>
    <n v="63.1"/>
    <s v="Default"/>
    <n v="100"/>
    <x v="1"/>
    <n v="44"/>
    <s v="MO"/>
    <s v="Associate"/>
    <s v="Full-Time"/>
    <x v="13"/>
    <n v="70593"/>
    <n v="749"/>
    <s v="Rent"/>
    <n v="2"/>
    <n v="2934"/>
    <x v="2"/>
    <x v="0"/>
    <x v="1"/>
    <x v="1"/>
  </r>
  <r>
    <s v="LN-00070"/>
    <s v="BRW-0057"/>
    <d v="2025-06-25T00:00:00"/>
    <s v="Major Purchase"/>
    <x v="65"/>
    <n v="60"/>
    <n v="8.67"/>
    <n v="422.27"/>
    <n v="27.8"/>
    <s v="Late"/>
    <n v="0"/>
    <x v="0"/>
    <n v="53"/>
    <s v="OR"/>
    <s v="Associate"/>
    <s v="Full-Time"/>
    <x v="26"/>
    <n v="30740"/>
    <n v="697"/>
    <s v="Rent"/>
    <n v="1"/>
    <n v="291"/>
    <x v="4"/>
    <x v="2"/>
    <x v="1"/>
    <x v="1"/>
  </r>
  <r>
    <s v="LN-00071"/>
    <s v="BRW-0058"/>
    <d v="2024-12-28T00:00:00"/>
    <s v="Auto Loan"/>
    <x v="66"/>
    <n v="36"/>
    <n v="13.49"/>
    <n v="1448.83"/>
    <n v="36.299999999999997"/>
    <s v="Current"/>
    <n v="0"/>
    <x v="0"/>
    <n v="61"/>
    <s v="IL"/>
    <s v="Bachelor"/>
    <s v="Contract"/>
    <x v="6"/>
    <n v="78362"/>
    <n v="548"/>
    <s v="Mortgage"/>
    <n v="3"/>
    <n v="919"/>
    <x v="0"/>
    <x v="1"/>
    <x v="1"/>
    <x v="1"/>
  </r>
  <r>
    <s v="LN-00072"/>
    <s v="BRW-0058"/>
    <d v="2024-10-24T00:00:00"/>
    <s v="Vacation"/>
    <x v="67"/>
    <n v="60"/>
    <n v="12.03"/>
    <n v="235.95"/>
    <n v="17.7"/>
    <s v="Current"/>
    <n v="0"/>
    <x v="0"/>
    <n v="61"/>
    <s v="IL"/>
    <s v="Bachelor"/>
    <s v="Contract"/>
    <x v="6"/>
    <n v="78362"/>
    <n v="548"/>
    <s v="Mortgage"/>
    <n v="3"/>
    <n v="919"/>
    <x v="0"/>
    <x v="2"/>
    <x v="1"/>
    <x v="0"/>
  </r>
  <r>
    <s v="LN-00073"/>
    <s v="BRW-0059"/>
    <d v="2025-02-27T00:00:00"/>
    <s v="Home Improvement"/>
    <x v="61"/>
    <n v="60"/>
    <n v="12.84"/>
    <n v="272.06"/>
    <n v="52"/>
    <s v="Default"/>
    <n v="119"/>
    <x v="1"/>
    <n v="38"/>
    <s v="OR"/>
    <s v="Bachelor"/>
    <s v="Full-Time"/>
    <x v="5"/>
    <n v="61452"/>
    <n v="729"/>
    <s v="Rent"/>
    <n v="1"/>
    <n v="2393"/>
    <x v="2"/>
    <x v="0"/>
    <x v="1"/>
    <x v="2"/>
  </r>
  <r>
    <s v="LN-00074"/>
    <s v="BRW-0060"/>
    <d v="2024-03-10T00:00:00"/>
    <s v="Business Loan"/>
    <x v="68"/>
    <n v="36"/>
    <n v="9.4600000000000009"/>
    <n v="166.47"/>
    <n v="10.5"/>
    <s v="Current"/>
    <n v="0"/>
    <x v="0"/>
    <n v="52"/>
    <s v="LA"/>
    <s v="High School"/>
    <s v="Full-Time"/>
    <x v="7"/>
    <n v="57596"/>
    <n v="709"/>
    <s v="Rent"/>
    <n v="4"/>
    <n v="336"/>
    <x v="2"/>
    <x v="2"/>
    <x v="1"/>
    <x v="2"/>
  </r>
  <r>
    <s v="LN-00075"/>
    <s v="BRW-0061"/>
    <d v="2024-06-28T00:00:00"/>
    <s v="Education"/>
    <x v="69"/>
    <n v="60"/>
    <n v="14.67"/>
    <n v="696.7"/>
    <n v="67.2"/>
    <s v="Default"/>
    <n v="116"/>
    <x v="1"/>
    <n v="23"/>
    <s v="MN"/>
    <s v="Master"/>
    <s v="Full-Time"/>
    <x v="18"/>
    <n v="56348"/>
    <n v="608"/>
    <s v="Own"/>
    <n v="0"/>
    <n v="2459"/>
    <x v="1"/>
    <x v="0"/>
    <x v="1"/>
    <x v="2"/>
  </r>
  <r>
    <s v="LN-00076"/>
    <s v="BRW-0062"/>
    <d v="2025-04-16T00:00:00"/>
    <s v="Vacation"/>
    <x v="70"/>
    <n v="24"/>
    <n v="8.41"/>
    <n v="1830.2"/>
    <n v="53.2"/>
    <s v="Current"/>
    <n v="0"/>
    <x v="0"/>
    <n v="51"/>
    <s v="PA"/>
    <s v="Bachelor"/>
    <s v="Self-Employed"/>
    <x v="23"/>
    <n v="51304"/>
    <n v="840"/>
    <s v="Rent"/>
    <n v="4"/>
    <n v="444"/>
    <x v="3"/>
    <x v="0"/>
    <x v="0"/>
    <x v="0"/>
  </r>
  <r>
    <s v="LN-00077"/>
    <s v="BRW-0062"/>
    <d v="2024-11-19T00:00:00"/>
    <s v="Major Purchase"/>
    <x v="71"/>
    <n v="60"/>
    <n v="7.5"/>
    <n v="94.18"/>
    <n v="12.6"/>
    <s v="Current"/>
    <n v="0"/>
    <x v="0"/>
    <n v="51"/>
    <s v="PA"/>
    <s v="Bachelor"/>
    <s v="Self-Employed"/>
    <x v="23"/>
    <n v="51304"/>
    <n v="840"/>
    <s v="Rent"/>
    <n v="4"/>
    <n v="444"/>
    <x v="3"/>
    <x v="2"/>
    <x v="0"/>
    <x v="1"/>
  </r>
  <r>
    <s v="LN-00078"/>
    <s v="BRW-0063"/>
    <d v="2025-01-19T00:00:00"/>
    <s v="Education"/>
    <x v="72"/>
    <n v="12"/>
    <n v="9.58"/>
    <n v="508.78"/>
    <n v="47.9"/>
    <s v="Current"/>
    <n v="0"/>
    <x v="0"/>
    <n v="23"/>
    <s v="OH"/>
    <s v="Master"/>
    <s v="Part-Time"/>
    <x v="20"/>
    <n v="72879"/>
    <n v="727"/>
    <s v="Rent"/>
    <n v="0"/>
    <n v="2400"/>
    <x v="2"/>
    <x v="1"/>
    <x v="1"/>
    <x v="2"/>
  </r>
  <r>
    <s v="LN-00079"/>
    <s v="BRW-0064"/>
    <d v="2024-11-18T00:00:00"/>
    <s v="Wedding"/>
    <x v="73"/>
    <n v="36"/>
    <n v="9.58"/>
    <n v="493.88"/>
    <n v="36"/>
    <s v="Current"/>
    <n v="0"/>
    <x v="0"/>
    <n v="62"/>
    <s v="MD"/>
    <s v="Associate"/>
    <s v="Self-Employed"/>
    <x v="23"/>
    <n v="43333"/>
    <n v="837"/>
    <s v="Rent"/>
    <n v="2"/>
    <n v="807"/>
    <x v="3"/>
    <x v="1"/>
    <x v="0"/>
    <x v="0"/>
  </r>
  <r>
    <s v="LN-00080"/>
    <s v="BRW-0065"/>
    <d v="2024-06-28T00:00:00"/>
    <s v="Education"/>
    <x v="74"/>
    <n v="24"/>
    <n v="13.53"/>
    <n v="2274.86"/>
    <n v="86.4"/>
    <s v="Default"/>
    <n v="39"/>
    <x v="1"/>
    <n v="49"/>
    <s v="TN"/>
    <s v="Bachelor"/>
    <s v="Full-Time"/>
    <x v="25"/>
    <n v="81913"/>
    <n v="546"/>
    <s v="Mortgage"/>
    <n v="0"/>
    <n v="3620"/>
    <x v="0"/>
    <x v="3"/>
    <x v="1"/>
    <x v="2"/>
  </r>
  <r>
    <s v="LN-00081"/>
    <s v="BRW-0065"/>
    <d v="2025-05-27T00:00:00"/>
    <s v="Business Loan"/>
    <x v="21"/>
    <n v="12"/>
    <n v="14.9"/>
    <n v="2101.92"/>
    <n v="83.8"/>
    <s v="Default"/>
    <n v="117"/>
    <x v="1"/>
    <n v="49"/>
    <s v="TN"/>
    <s v="Bachelor"/>
    <s v="Full-Time"/>
    <x v="25"/>
    <n v="81913"/>
    <n v="546"/>
    <s v="Mortgage"/>
    <n v="0"/>
    <n v="3620"/>
    <x v="0"/>
    <x v="3"/>
    <x v="1"/>
    <x v="2"/>
  </r>
  <r>
    <s v="LN-00082"/>
    <s v="BRW-0066"/>
    <d v="2025-06-12T00:00:00"/>
    <s v="Moving"/>
    <x v="75"/>
    <n v="12"/>
    <n v="13.69"/>
    <n v="1461.15"/>
    <n v="76.900000000000006"/>
    <s v="Paid Off"/>
    <n v="0"/>
    <x v="0"/>
    <n v="62"/>
    <s v="NC"/>
    <s v="Master"/>
    <s v="Full-Time"/>
    <x v="27"/>
    <n v="67726"/>
    <n v="625"/>
    <s v="Rent"/>
    <n v="2"/>
    <n v="2877"/>
    <x v="1"/>
    <x v="3"/>
    <x v="1"/>
    <x v="0"/>
  </r>
  <r>
    <s v="LN-00083"/>
    <s v="BRW-0066"/>
    <d v="2024-02-15T00:00:00"/>
    <s v="Vacation"/>
    <x v="76"/>
    <n v="12"/>
    <n v="9.6"/>
    <n v="3816.25"/>
    <n v="118.6"/>
    <s v="Current"/>
    <n v="0"/>
    <x v="0"/>
    <n v="62"/>
    <s v="NC"/>
    <s v="Master"/>
    <s v="Full-Time"/>
    <x v="27"/>
    <n v="67726"/>
    <n v="625"/>
    <s v="Rent"/>
    <n v="2"/>
    <n v="2877"/>
    <x v="1"/>
    <x v="3"/>
    <x v="1"/>
    <x v="0"/>
  </r>
  <r>
    <s v="LN-00084"/>
    <s v="BRW-0067"/>
    <d v="2024-11-15T00:00:00"/>
    <s v="Debt Consolidation"/>
    <x v="77"/>
    <n v="36"/>
    <n v="8.4499999999999993"/>
    <n v="817"/>
    <n v="40"/>
    <s v="Current"/>
    <n v="0"/>
    <x v="0"/>
    <n v="52"/>
    <s v="NY"/>
    <s v="Bachelor"/>
    <s v="Contract"/>
    <x v="8"/>
    <n v="78399"/>
    <n v="700"/>
    <s v="Rent"/>
    <n v="0"/>
    <n v="1799"/>
    <x v="2"/>
    <x v="1"/>
    <x v="1"/>
    <x v="1"/>
  </r>
  <r>
    <s v="LN-00085"/>
    <s v="BRW-0068"/>
    <d v="2024-06-10T00:00:00"/>
    <s v="Moving"/>
    <x v="78"/>
    <n v="12"/>
    <n v="8.23"/>
    <n v="1724.48"/>
    <n v="51.2"/>
    <s v="Late"/>
    <n v="0"/>
    <x v="0"/>
    <n v="51"/>
    <s v="OH"/>
    <s v="Bachelor"/>
    <s v="Self-Employed"/>
    <x v="28"/>
    <n v="62062"/>
    <n v="788"/>
    <s v="Own"/>
    <n v="1"/>
    <n v="926"/>
    <x v="3"/>
    <x v="0"/>
    <x v="0"/>
    <x v="0"/>
  </r>
  <r>
    <s v="LN-00086"/>
    <s v="BRW-0069"/>
    <d v="2024-10-17T00:00:00"/>
    <s v="Business Loan"/>
    <x v="9"/>
    <n v="36"/>
    <n v="11.71"/>
    <n v="939.36"/>
    <n v="39.700000000000003"/>
    <s v="Current"/>
    <n v="0"/>
    <x v="0"/>
    <n v="39"/>
    <s v="NY"/>
    <s v="Master"/>
    <s v="Self-Employed"/>
    <x v="19"/>
    <n v="78303"/>
    <n v="540"/>
    <s v="Rent"/>
    <n v="0"/>
    <n v="1652"/>
    <x v="0"/>
    <x v="1"/>
    <x v="0"/>
    <x v="2"/>
  </r>
  <r>
    <s v="LN-00087"/>
    <s v="BRW-0070"/>
    <d v="2024-02-21T00:00:00"/>
    <s v="Moving"/>
    <x v="79"/>
    <n v="48"/>
    <n v="11.25"/>
    <n v="212.93"/>
    <n v="27.5"/>
    <s v="Current"/>
    <n v="0"/>
    <x v="0"/>
    <n v="57"/>
    <s v="NY"/>
    <s v="Master"/>
    <s v="Self-Employed"/>
    <x v="12"/>
    <n v="110018"/>
    <n v="796"/>
    <s v="Rent"/>
    <n v="0"/>
    <n v="2312"/>
    <x v="3"/>
    <x v="2"/>
    <x v="0"/>
    <x v="0"/>
  </r>
  <r>
    <s v="LN-00088"/>
    <s v="BRW-0070"/>
    <d v="2024-11-15T00:00:00"/>
    <s v="Medical Expenses"/>
    <x v="80"/>
    <n v="48"/>
    <n v="9.81"/>
    <n v="1132.1600000000001"/>
    <n v="37.6"/>
    <s v="Paid Off"/>
    <n v="0"/>
    <x v="0"/>
    <n v="57"/>
    <s v="NY"/>
    <s v="Master"/>
    <s v="Self-Employed"/>
    <x v="12"/>
    <n v="110018"/>
    <n v="796"/>
    <s v="Rent"/>
    <n v="0"/>
    <n v="2312"/>
    <x v="3"/>
    <x v="1"/>
    <x v="0"/>
    <x v="0"/>
  </r>
  <r>
    <s v="LN-00089"/>
    <s v="BRW-0071"/>
    <d v="2024-04-05T00:00:00"/>
    <s v="Home Improvement"/>
    <x v="81"/>
    <n v="48"/>
    <n v="9.57"/>
    <n v="799.98"/>
    <n v="56.6"/>
    <s v="Late"/>
    <n v="15"/>
    <x v="0"/>
    <n v="37"/>
    <s v="AL"/>
    <s v="Associate"/>
    <s v="Part-Time"/>
    <x v="21"/>
    <n v="28195"/>
    <n v="796"/>
    <s v="Mortgage"/>
    <n v="2"/>
    <n v="530"/>
    <x v="3"/>
    <x v="0"/>
    <x v="1"/>
    <x v="2"/>
  </r>
  <r>
    <s v="LN-00090"/>
    <s v="BRW-0071"/>
    <d v="2024-08-17T00:00:00"/>
    <s v="Vacation"/>
    <x v="49"/>
    <n v="48"/>
    <n v="9.09"/>
    <n v="321.57"/>
    <n v="36.200000000000003"/>
    <s v="Late"/>
    <n v="15"/>
    <x v="0"/>
    <n v="37"/>
    <s v="AL"/>
    <s v="Associate"/>
    <s v="Part-Time"/>
    <x v="21"/>
    <n v="28195"/>
    <n v="796"/>
    <s v="Mortgage"/>
    <n v="2"/>
    <n v="530"/>
    <x v="3"/>
    <x v="1"/>
    <x v="1"/>
    <x v="0"/>
  </r>
  <r>
    <s v="LN-00091"/>
    <s v="BRW-0072"/>
    <d v="2024-01-31T00:00:00"/>
    <s v="Medical Expenses"/>
    <x v="82"/>
    <n v="36"/>
    <n v="11.88"/>
    <n v="901.87"/>
    <n v="70.400000000000006"/>
    <s v="Default"/>
    <n v="58"/>
    <x v="1"/>
    <n v="51"/>
    <s v="MO"/>
    <s v="Associate"/>
    <s v="Full-Time"/>
    <x v="28"/>
    <n v="34974"/>
    <n v="623"/>
    <s v="Own"/>
    <n v="4"/>
    <n v="1151"/>
    <x v="1"/>
    <x v="0"/>
    <x v="1"/>
    <x v="0"/>
  </r>
  <r>
    <s v="LN-00092"/>
    <s v="BRW-0073"/>
    <d v="2024-05-10T00:00:00"/>
    <s v="Vacation"/>
    <x v="83"/>
    <n v="36"/>
    <n v="9.64"/>
    <n v="497.53"/>
    <n v="29.3"/>
    <s v="Paid Off"/>
    <n v="0"/>
    <x v="0"/>
    <n v="34"/>
    <s v="FL"/>
    <s v="Associate"/>
    <s v="Full-Time"/>
    <x v="11"/>
    <n v="62875"/>
    <n v="803"/>
    <s v="Mortgage"/>
    <n v="3"/>
    <n v="1038"/>
    <x v="3"/>
    <x v="2"/>
    <x v="1"/>
    <x v="0"/>
  </r>
  <r>
    <s v="LN-00093"/>
    <s v="BRW-0074"/>
    <d v="2025-02-27T00:00:00"/>
    <s v="Moving"/>
    <x v="84"/>
    <n v="60"/>
    <n v="11.14"/>
    <n v="778.7"/>
    <n v="74.900000000000006"/>
    <s v="Default"/>
    <n v="92"/>
    <x v="1"/>
    <n v="45"/>
    <s v="MO"/>
    <s v="High School"/>
    <s v="Full-Time"/>
    <x v="18"/>
    <n v="41201"/>
    <n v="670"/>
    <s v="Rent"/>
    <n v="0"/>
    <n v="1792"/>
    <x v="4"/>
    <x v="0"/>
    <x v="1"/>
    <x v="0"/>
  </r>
  <r>
    <s v="LN-00094"/>
    <s v="BRW-0075"/>
    <d v="2025-03-21T00:00:00"/>
    <s v="Vacation"/>
    <x v="85"/>
    <n v="60"/>
    <n v="8.11"/>
    <n v="374.06"/>
    <n v="56.7"/>
    <s v="Late"/>
    <n v="0"/>
    <x v="0"/>
    <n v="62"/>
    <s v="MA"/>
    <s v="Master"/>
    <s v="Full-Time"/>
    <x v="4"/>
    <n v="129479"/>
    <n v="843"/>
    <s v="Mortgage"/>
    <n v="1"/>
    <n v="5748"/>
    <x v="3"/>
    <x v="0"/>
    <x v="1"/>
    <x v="0"/>
  </r>
  <r>
    <s v="LN-00095"/>
    <s v="BRW-0076"/>
    <d v="2025-04-19T00:00:00"/>
    <s v="Home Improvement"/>
    <x v="58"/>
    <n v="48"/>
    <n v="7.99"/>
    <n v="883.58"/>
    <n v="21.1"/>
    <s v="Current"/>
    <n v="0"/>
    <x v="0"/>
    <n v="38"/>
    <s v="CO"/>
    <s v="Master"/>
    <s v="Full-Time"/>
    <x v="8"/>
    <n v="125137"/>
    <n v="755"/>
    <s v="Own"/>
    <n v="2"/>
    <n v="1312"/>
    <x v="3"/>
    <x v="2"/>
    <x v="1"/>
    <x v="2"/>
  </r>
  <r>
    <s v="LN-00096"/>
    <s v="BRW-0077"/>
    <d v="2025-01-23T00:00:00"/>
    <s v="Major Purchase"/>
    <x v="86"/>
    <n v="60"/>
    <n v="10.19"/>
    <n v="104.57"/>
    <n v="45.4"/>
    <s v="Current"/>
    <n v="0"/>
    <x v="0"/>
    <n v="58"/>
    <s v="KY"/>
    <s v="Master"/>
    <s v="Full-Time"/>
    <x v="22"/>
    <n v="75894"/>
    <n v="820"/>
    <s v="Mortgage"/>
    <n v="2"/>
    <n v="2769"/>
    <x v="3"/>
    <x v="1"/>
    <x v="1"/>
    <x v="1"/>
  </r>
  <r>
    <s v="LN-00097"/>
    <s v="BRW-0078"/>
    <d v="2024-06-01T00:00:00"/>
    <s v="Medical Expenses"/>
    <x v="87"/>
    <n v="12"/>
    <n v="11.14"/>
    <n v="4015.49"/>
    <n v="92.5"/>
    <s v="Late"/>
    <n v="0"/>
    <x v="0"/>
    <n v="46"/>
    <s v="TX"/>
    <s v="Bachelor"/>
    <s v="Full-Time"/>
    <x v="11"/>
    <n v="95478"/>
    <n v="759"/>
    <s v="Mortgage"/>
    <n v="2"/>
    <n v="3342"/>
    <x v="3"/>
    <x v="3"/>
    <x v="1"/>
    <x v="0"/>
  </r>
  <r>
    <s v="LN-00098"/>
    <s v="BRW-0079"/>
    <d v="2024-11-07T00:00:00"/>
    <s v="Business Loan"/>
    <x v="88"/>
    <n v="60"/>
    <n v="13.11"/>
    <n v="392.32"/>
    <n v="37.799999999999997"/>
    <s v="Late"/>
    <n v="15"/>
    <x v="0"/>
    <n v="35"/>
    <s v="PA"/>
    <s v="Bachelor"/>
    <s v="Full-Time"/>
    <x v="6"/>
    <n v="45779"/>
    <n v="652"/>
    <s v="Mortgage"/>
    <n v="0"/>
    <n v="1050"/>
    <x v="4"/>
    <x v="1"/>
    <x v="1"/>
    <x v="2"/>
  </r>
  <r>
    <s v="LN-00099"/>
    <s v="BRW-0080"/>
    <d v="2024-05-10T00:00:00"/>
    <s v="Home Improvement"/>
    <x v="89"/>
    <n v="60"/>
    <n v="10.79"/>
    <n v="679.43"/>
    <n v="58.2"/>
    <s v="Paid Off"/>
    <n v="0"/>
    <x v="0"/>
    <n v="60"/>
    <s v="GA"/>
    <s v="Bachelor"/>
    <s v="Full-Time"/>
    <x v="29"/>
    <n v="58981"/>
    <n v="674"/>
    <s v="Own"/>
    <n v="3"/>
    <n v="2181"/>
    <x v="4"/>
    <x v="0"/>
    <x v="1"/>
    <x v="2"/>
  </r>
  <r>
    <s v="LN-00100"/>
    <s v="BRW-0080"/>
    <d v="2024-10-15T00:00:00"/>
    <s v="Debt Consolidation"/>
    <x v="90"/>
    <n v="36"/>
    <n v="9.32"/>
    <n v="345.05"/>
    <n v="51.4"/>
    <s v="Paid Off"/>
    <n v="0"/>
    <x v="0"/>
    <n v="60"/>
    <s v="GA"/>
    <s v="Bachelor"/>
    <s v="Full-Time"/>
    <x v="29"/>
    <n v="58981"/>
    <n v="674"/>
    <s v="Own"/>
    <n v="3"/>
    <n v="2181"/>
    <x v="4"/>
    <x v="0"/>
    <x v="1"/>
    <x v="1"/>
  </r>
  <r>
    <s v="LN-00101"/>
    <s v="BRW-0081"/>
    <d v="2024-06-26T00:00:00"/>
    <s v="Education"/>
    <x v="91"/>
    <n v="48"/>
    <n v="12.93"/>
    <n v="576.04"/>
    <n v="59.3"/>
    <s v="Default"/>
    <n v="78"/>
    <x v="1"/>
    <n v="62"/>
    <s v="IL"/>
    <s v="Bachelor"/>
    <s v="Contract"/>
    <x v="17"/>
    <n v="53220"/>
    <n v="588"/>
    <s v="Own"/>
    <n v="3"/>
    <n v="2054"/>
    <x v="0"/>
    <x v="0"/>
    <x v="1"/>
    <x v="2"/>
  </r>
  <r>
    <s v="LN-00102"/>
    <s v="BRW-0082"/>
    <d v="2024-03-14T00:00:00"/>
    <s v="Education"/>
    <x v="92"/>
    <n v="24"/>
    <n v="6.99"/>
    <n v="420.82"/>
    <n v="51.6"/>
    <s v="Paid Off"/>
    <n v="0"/>
    <x v="0"/>
    <n v="26"/>
    <s v="MA"/>
    <s v="High School"/>
    <s v="Self-Employed"/>
    <x v="9"/>
    <n v="43345"/>
    <n v="821"/>
    <s v="Mortgage"/>
    <n v="2"/>
    <n v="1444"/>
    <x v="3"/>
    <x v="0"/>
    <x v="0"/>
    <x v="2"/>
  </r>
  <r>
    <s v="LN-00103"/>
    <s v="BRW-0083"/>
    <d v="2025-03-11T00:00:00"/>
    <s v="Medical Expenses"/>
    <x v="93"/>
    <n v="48"/>
    <n v="15.13"/>
    <n v="348.71"/>
    <n v="18.7"/>
    <s v="Current"/>
    <n v="0"/>
    <x v="0"/>
    <n v="39"/>
    <s v="WI"/>
    <s v="Bachelor"/>
    <s v="Full-Time"/>
    <x v="14"/>
    <n v="45732"/>
    <n v="550"/>
    <s v="Rent"/>
    <n v="0"/>
    <n v="364"/>
    <x v="0"/>
    <x v="2"/>
    <x v="1"/>
    <x v="0"/>
  </r>
  <r>
    <s v="LN-00104"/>
    <s v="BRW-0084"/>
    <d v="2025-05-25T00:00:00"/>
    <s v="Major Purchase"/>
    <x v="94"/>
    <n v="60"/>
    <n v="8.84"/>
    <n v="225.42"/>
    <n v="41.2"/>
    <s v="Current"/>
    <n v="0"/>
    <x v="0"/>
    <n v="65"/>
    <s v="PA"/>
    <s v="Master"/>
    <s v="Part-Time"/>
    <x v="9"/>
    <n v="74897"/>
    <n v="672"/>
    <s v="Rent"/>
    <n v="1"/>
    <n v="2345"/>
    <x v="4"/>
    <x v="1"/>
    <x v="1"/>
    <x v="1"/>
  </r>
  <r>
    <s v="LN-00105"/>
    <s v="BRW-0084"/>
    <d v="2025-05-09T00:00:00"/>
    <s v="Major Purchase"/>
    <x v="95"/>
    <n v="12"/>
    <n v="13.69"/>
    <n v="2662.35"/>
    <n v="80.2"/>
    <s v="Current"/>
    <n v="0"/>
    <x v="0"/>
    <n v="65"/>
    <s v="PA"/>
    <s v="Master"/>
    <s v="Part-Time"/>
    <x v="9"/>
    <n v="74897"/>
    <n v="672"/>
    <s v="Rent"/>
    <n v="1"/>
    <n v="2345"/>
    <x v="4"/>
    <x v="3"/>
    <x v="1"/>
    <x v="1"/>
  </r>
  <r>
    <s v="LN-00106"/>
    <s v="BRW-0085"/>
    <d v="2024-03-21T00:00:00"/>
    <s v="Medical Expenses"/>
    <x v="37"/>
    <n v="36"/>
    <n v="9.39"/>
    <n v="518.1"/>
    <n v="63.7"/>
    <s v="Current"/>
    <n v="0"/>
    <x v="0"/>
    <n v="39"/>
    <s v="AZ"/>
    <s v="High School"/>
    <s v="Part-Time"/>
    <x v="9"/>
    <n v="24609"/>
    <n v="776"/>
    <s v="Mortgage"/>
    <n v="1"/>
    <n v="789"/>
    <x v="3"/>
    <x v="0"/>
    <x v="1"/>
    <x v="0"/>
  </r>
  <r>
    <s v="LN-00107"/>
    <s v="BRW-0086"/>
    <d v="2024-02-24T00:00:00"/>
    <s v="Home Improvement"/>
    <x v="96"/>
    <n v="60"/>
    <n v="9.31"/>
    <n v="558.27"/>
    <n v="33.299999999999997"/>
    <s v="Current"/>
    <n v="0"/>
    <x v="0"/>
    <n v="32"/>
    <s v="MA"/>
    <s v="Associate"/>
    <s v="Self-Employed"/>
    <x v="15"/>
    <n v="42715"/>
    <n v="735"/>
    <s v="Mortgage"/>
    <n v="0"/>
    <n v="627"/>
    <x v="2"/>
    <x v="2"/>
    <x v="0"/>
    <x v="2"/>
  </r>
  <r>
    <s v="LN-00108"/>
    <s v="BRW-0087"/>
    <d v="2024-10-28T00:00:00"/>
    <s v="Vacation"/>
    <x v="97"/>
    <n v="36"/>
    <n v="15.64"/>
    <n v="626.13"/>
    <n v="29.3"/>
    <s v="Default"/>
    <n v="39"/>
    <x v="1"/>
    <n v="29"/>
    <s v="TX"/>
    <s v="Doctorate"/>
    <s v="Full-Time"/>
    <x v="5"/>
    <n v="120275"/>
    <n v="550"/>
    <s v="Mortgage"/>
    <n v="0"/>
    <n v="2314"/>
    <x v="0"/>
    <x v="2"/>
    <x v="1"/>
    <x v="0"/>
  </r>
  <r>
    <s v="LN-00109"/>
    <s v="BRW-0088"/>
    <d v="2025-04-29T00:00:00"/>
    <s v="Wedding"/>
    <x v="98"/>
    <n v="60"/>
    <n v="7.79"/>
    <n v="744.5"/>
    <n v="45.9"/>
    <s v="Late"/>
    <n v="0"/>
    <x v="0"/>
    <n v="53"/>
    <s v="MA"/>
    <s v="Bachelor"/>
    <s v="Self-Employed"/>
    <x v="5"/>
    <n v="53587"/>
    <n v="811"/>
    <s v="Rent"/>
    <n v="3"/>
    <n v="1305"/>
    <x v="3"/>
    <x v="1"/>
    <x v="0"/>
    <x v="0"/>
  </r>
  <r>
    <s v="LN-00110"/>
    <s v="BRW-0089"/>
    <d v="2024-10-11T00:00:00"/>
    <s v="Wedding"/>
    <x v="99"/>
    <n v="24"/>
    <n v="12.34"/>
    <n v="429.81"/>
    <n v="26.5"/>
    <s v="Default"/>
    <n v="101"/>
    <x v="1"/>
    <n v="23"/>
    <s v="MO"/>
    <s v="Doctorate"/>
    <s v="Part-Time"/>
    <x v="9"/>
    <n v="50328"/>
    <n v="611"/>
    <s v="Mortgage"/>
    <n v="1"/>
    <n v="680"/>
    <x v="1"/>
    <x v="2"/>
    <x v="1"/>
    <x v="0"/>
  </r>
  <r>
    <s v="LN-00111"/>
    <s v="BRW-0090"/>
    <d v="2024-06-03T00:00:00"/>
    <s v="Auto Loan"/>
    <x v="100"/>
    <n v="24"/>
    <n v="11.3"/>
    <n v="238.41"/>
    <n v="32.200000000000003"/>
    <s v="Current"/>
    <n v="0"/>
    <x v="0"/>
    <n v="29"/>
    <s v="NC"/>
    <s v="Bachelor"/>
    <s v="Full-Time"/>
    <x v="1"/>
    <n v="93690"/>
    <n v="795"/>
    <s v="Mortgage"/>
    <n v="1"/>
    <n v="2273"/>
    <x v="3"/>
    <x v="2"/>
    <x v="1"/>
    <x v="1"/>
  </r>
  <r>
    <s v="LN-00112"/>
    <s v="BRW-0091"/>
    <d v="2024-03-27T00:00:00"/>
    <s v="Business Loan"/>
    <x v="101"/>
    <n v="12"/>
    <n v="7.86"/>
    <n v="1625.47"/>
    <n v="94.1"/>
    <s v="Paid Off"/>
    <n v="0"/>
    <x v="0"/>
    <n v="52"/>
    <s v="IL"/>
    <s v="Associate"/>
    <s v="Part-Time"/>
    <x v="30"/>
    <n v="25916"/>
    <n v="831"/>
    <s v="Rent"/>
    <n v="3"/>
    <n v="406"/>
    <x v="3"/>
    <x v="3"/>
    <x v="1"/>
    <x v="2"/>
  </r>
  <r>
    <s v="LN-00113"/>
    <s v="BRW-0092"/>
    <d v="2024-06-20T00:00:00"/>
    <s v="Major Purchase"/>
    <x v="102"/>
    <n v="48"/>
    <n v="14.78"/>
    <n v="371.44"/>
    <n v="65.599999999999994"/>
    <s v="Default"/>
    <n v="118"/>
    <x v="1"/>
    <n v="48"/>
    <s v="OR"/>
    <s v="Associate"/>
    <s v="Self-Employed"/>
    <x v="11"/>
    <n v="41743"/>
    <n v="531"/>
    <s v="Rent"/>
    <n v="2"/>
    <n v="1911"/>
    <x v="0"/>
    <x v="0"/>
    <x v="0"/>
    <x v="1"/>
  </r>
  <r>
    <s v="LN-00114"/>
    <s v="BRW-0092"/>
    <d v="2025-04-20T00:00:00"/>
    <s v="Debt Consolidation"/>
    <x v="17"/>
    <n v="12"/>
    <n v="11.41"/>
    <n v="3038.05"/>
    <n v="142.30000000000001"/>
    <s v="Default"/>
    <n v="107"/>
    <x v="1"/>
    <n v="48"/>
    <s v="OR"/>
    <s v="Associate"/>
    <s v="Self-Employed"/>
    <x v="11"/>
    <n v="41743"/>
    <n v="531"/>
    <s v="Rent"/>
    <n v="2"/>
    <n v="1911"/>
    <x v="0"/>
    <x v="3"/>
    <x v="0"/>
    <x v="1"/>
  </r>
  <r>
    <s v="LN-00115"/>
    <s v="BRW-0093"/>
    <d v="2024-05-28T00:00:00"/>
    <s v="Moving"/>
    <x v="103"/>
    <n v="48"/>
    <n v="10.54"/>
    <n v="891.67"/>
    <n v="65.2"/>
    <s v="Current"/>
    <n v="0"/>
    <x v="0"/>
    <n v="53"/>
    <s v="NJ"/>
    <s v="Master"/>
    <s v="Full-Time"/>
    <x v="31"/>
    <n v="96156"/>
    <n v="710"/>
    <s v="Mortgage"/>
    <n v="3"/>
    <n v="4330"/>
    <x v="2"/>
    <x v="0"/>
    <x v="1"/>
    <x v="0"/>
  </r>
  <r>
    <s v="LN-00116"/>
    <s v="BRW-0094"/>
    <d v="2025-06-28T00:00:00"/>
    <s v="Major Purchase"/>
    <x v="104"/>
    <n v="12"/>
    <n v="11.12"/>
    <n v="4262.6899999999996"/>
    <n v="80.8"/>
    <s v="Late"/>
    <n v="30"/>
    <x v="0"/>
    <n v="37"/>
    <s v="SC"/>
    <s v="Bachelor"/>
    <s v="Full-Time"/>
    <x v="16"/>
    <n v="90079"/>
    <n v="562"/>
    <s v="Rent"/>
    <n v="3"/>
    <n v="1806"/>
    <x v="0"/>
    <x v="3"/>
    <x v="1"/>
    <x v="1"/>
  </r>
  <r>
    <s v="LN-00117"/>
    <s v="BRW-0095"/>
    <d v="2025-02-04T00:00:00"/>
    <s v="Auto Loan"/>
    <x v="59"/>
    <n v="12"/>
    <n v="12.06"/>
    <n v="1253.1600000000001"/>
    <n v="32.200000000000003"/>
    <s v="Current"/>
    <n v="0"/>
    <x v="0"/>
    <n v="64"/>
    <s v="MD"/>
    <s v="Master"/>
    <s v="Self-Employed"/>
    <x v="5"/>
    <n v="67650"/>
    <n v="553"/>
    <s v="Mortgage"/>
    <n v="1"/>
    <n v="564"/>
    <x v="0"/>
    <x v="2"/>
    <x v="0"/>
    <x v="1"/>
  </r>
  <r>
    <s v="LN-00118"/>
    <s v="BRW-0095"/>
    <d v="2024-01-11T00:00:00"/>
    <s v="Wedding"/>
    <x v="105"/>
    <n v="24"/>
    <n v="12.35"/>
    <n v="1275.4000000000001"/>
    <n v="32.6"/>
    <s v="Current"/>
    <n v="0"/>
    <x v="0"/>
    <n v="64"/>
    <s v="MD"/>
    <s v="Master"/>
    <s v="Self-Employed"/>
    <x v="5"/>
    <n v="67650"/>
    <n v="553"/>
    <s v="Mortgage"/>
    <n v="1"/>
    <n v="564"/>
    <x v="0"/>
    <x v="2"/>
    <x v="0"/>
    <x v="0"/>
  </r>
  <r>
    <s v="LN-00119"/>
    <s v="BRW-0096"/>
    <d v="2024-02-04T00:00:00"/>
    <s v="Home Improvement"/>
    <x v="106"/>
    <n v="36"/>
    <n v="11.29"/>
    <n v="338.63"/>
    <n v="61.8"/>
    <s v="Default"/>
    <n v="53"/>
    <x v="1"/>
    <n v="50"/>
    <s v="IL"/>
    <s v="High School"/>
    <s v="Contract"/>
    <x v="14"/>
    <n v="22940"/>
    <n v="598"/>
    <s v="Rent"/>
    <n v="0"/>
    <n v="842"/>
    <x v="0"/>
    <x v="0"/>
    <x v="1"/>
    <x v="2"/>
  </r>
  <r>
    <s v="LN-00120"/>
    <s v="BRW-0097"/>
    <d v="2024-05-02T00:00:00"/>
    <s v="Wedding"/>
    <x v="107"/>
    <n v="60"/>
    <n v="11.56"/>
    <n v="927.16"/>
    <n v="68.099999999999994"/>
    <s v="Default"/>
    <n v="63"/>
    <x v="1"/>
    <n v="38"/>
    <s v="NJ"/>
    <s v="Associate"/>
    <s v="Self-Employed"/>
    <x v="13"/>
    <n v="59422"/>
    <n v="698"/>
    <s v="Mortgage"/>
    <n v="2"/>
    <n v="2444"/>
    <x v="4"/>
    <x v="0"/>
    <x v="0"/>
    <x v="0"/>
  </r>
  <r>
    <s v="LN-00121"/>
    <s v="BRW-0098"/>
    <d v="2024-09-16T00:00:00"/>
    <s v="Wedding"/>
    <x v="94"/>
    <n v="12"/>
    <n v="9.31"/>
    <n v="954.79"/>
    <n v="72.8"/>
    <s v="Current"/>
    <n v="0"/>
    <x v="0"/>
    <n v="53"/>
    <s v="AL"/>
    <s v="Master"/>
    <s v="Full-Time"/>
    <x v="4"/>
    <n v="60470"/>
    <n v="850"/>
    <s v="Rent"/>
    <n v="0"/>
    <n v="2716"/>
    <x v="3"/>
    <x v="0"/>
    <x v="1"/>
    <x v="0"/>
  </r>
  <r>
    <s v="LN-00122"/>
    <s v="BRW-0099"/>
    <d v="2024-03-16T00:00:00"/>
    <s v="Auto Loan"/>
    <x v="108"/>
    <n v="36"/>
    <n v="9.82"/>
    <n v="1132.83"/>
    <n v="42.6"/>
    <s v="Default"/>
    <n v="45"/>
    <x v="1"/>
    <n v="62"/>
    <s v="KY"/>
    <s v="Master"/>
    <s v="Full-Time"/>
    <x v="18"/>
    <n v="68874"/>
    <n v="688"/>
    <s v="Own"/>
    <n v="0"/>
    <n v="1315"/>
    <x v="4"/>
    <x v="1"/>
    <x v="1"/>
    <x v="1"/>
  </r>
  <r>
    <s v="LN-00123"/>
    <s v="BRW-0100"/>
    <d v="2024-03-12T00:00:00"/>
    <s v="Education"/>
    <x v="53"/>
    <n v="36"/>
    <n v="10.52"/>
    <n v="468.17"/>
    <n v="49.3"/>
    <s v="Late"/>
    <n v="15"/>
    <x v="0"/>
    <n v="49"/>
    <s v="WI"/>
    <s v="High School"/>
    <s v="Full-Time"/>
    <x v="6"/>
    <n v="42320"/>
    <n v="622"/>
    <s v="Own"/>
    <n v="3"/>
    <n v="1269"/>
    <x v="1"/>
    <x v="1"/>
    <x v="1"/>
    <x v="2"/>
  </r>
  <r>
    <s v="LN-00124"/>
    <s v="BRW-0101"/>
    <d v="2024-04-18T00:00:00"/>
    <s v="Vacation"/>
    <x v="109"/>
    <n v="48"/>
    <n v="6.93"/>
    <n v="191.31"/>
    <n v="52.7"/>
    <s v="Current"/>
    <n v="0"/>
    <x v="0"/>
    <n v="37"/>
    <s v="MN"/>
    <s v="Bachelor"/>
    <s v="Part-Time"/>
    <x v="5"/>
    <n v="30477"/>
    <n v="850"/>
    <s v="Mortgage"/>
    <n v="0"/>
    <n v="1148"/>
    <x v="3"/>
    <x v="0"/>
    <x v="1"/>
    <x v="0"/>
  </r>
  <r>
    <s v="LN-00125"/>
    <s v="BRW-0102"/>
    <d v="2024-06-01T00:00:00"/>
    <s v="Wedding"/>
    <x v="110"/>
    <n v="12"/>
    <n v="12.63"/>
    <n v="3503.35"/>
    <n v="88.9"/>
    <s v="Current"/>
    <n v="0"/>
    <x v="0"/>
    <n v="40"/>
    <s v="AZ"/>
    <s v="Bachelor"/>
    <s v="Full-Time"/>
    <x v="4"/>
    <n v="68782"/>
    <n v="711"/>
    <s v="Mortgage"/>
    <n v="2"/>
    <n v="1595"/>
    <x v="2"/>
    <x v="3"/>
    <x v="1"/>
    <x v="0"/>
  </r>
  <r>
    <s v="LN-00126"/>
    <s v="BRW-0103"/>
    <d v="2025-05-17T00:00:00"/>
    <s v="Medical Expenses"/>
    <x v="111"/>
    <n v="60"/>
    <n v="9.25"/>
    <n v="851.9"/>
    <n v="65.900000000000006"/>
    <s v="Paid Off"/>
    <n v="0"/>
    <x v="0"/>
    <n v="41"/>
    <s v="MD"/>
    <s v="High School"/>
    <s v="Full-Time"/>
    <x v="15"/>
    <n v="39408"/>
    <n v="646"/>
    <s v="Mortgage"/>
    <n v="0"/>
    <n v="1312"/>
    <x v="1"/>
    <x v="0"/>
    <x v="1"/>
    <x v="0"/>
  </r>
  <r>
    <s v="LN-00127"/>
    <s v="BRW-0104"/>
    <d v="2025-01-02T00:00:00"/>
    <s v="Home Improvement"/>
    <x v="112"/>
    <n v="48"/>
    <n v="6.79"/>
    <n v="52.47"/>
    <n v="50.9"/>
    <s v="Current"/>
    <n v="0"/>
    <x v="0"/>
    <n v="23"/>
    <s v="AL"/>
    <s v="Doctorate"/>
    <s v="Self-Employed"/>
    <x v="10"/>
    <n v="95183"/>
    <n v="829"/>
    <s v="Rent"/>
    <n v="1"/>
    <n v="3982"/>
    <x v="3"/>
    <x v="0"/>
    <x v="0"/>
    <x v="2"/>
  </r>
  <r>
    <s v="LN-00128"/>
    <s v="BRW-0104"/>
    <d v="2025-04-15T00:00:00"/>
    <s v="Home Improvement"/>
    <x v="113"/>
    <n v="36"/>
    <n v="6.59"/>
    <n v="1319.67"/>
    <n v="66.8"/>
    <s v="Current"/>
    <n v="0"/>
    <x v="0"/>
    <n v="23"/>
    <s v="AL"/>
    <s v="Doctorate"/>
    <s v="Self-Employed"/>
    <x v="10"/>
    <n v="95183"/>
    <n v="829"/>
    <s v="Rent"/>
    <n v="1"/>
    <n v="3982"/>
    <x v="3"/>
    <x v="0"/>
    <x v="0"/>
    <x v="2"/>
  </r>
  <r>
    <s v="LN-00129"/>
    <s v="BRW-0105"/>
    <d v="2025-01-02T00:00:00"/>
    <s v="Major Purchase"/>
    <x v="75"/>
    <n v="48"/>
    <n v="13.45"/>
    <n v="440.94"/>
    <n v="45.3"/>
    <s v="Late"/>
    <n v="15"/>
    <x v="0"/>
    <n v="40"/>
    <s v="NC"/>
    <s v="Master"/>
    <s v="Full-Time"/>
    <x v="28"/>
    <n v="123405"/>
    <n v="662"/>
    <s v="Own"/>
    <n v="2"/>
    <n v="4221"/>
    <x v="4"/>
    <x v="1"/>
    <x v="1"/>
    <x v="1"/>
  </r>
  <r>
    <s v="LN-00130"/>
    <s v="BRW-0106"/>
    <d v="2025-02-02T00:00:00"/>
    <s v="Debt Consolidation"/>
    <x v="114"/>
    <n v="60"/>
    <n v="7.03"/>
    <n v="366.58"/>
    <n v="32.6"/>
    <s v="Default"/>
    <n v="168"/>
    <x v="1"/>
    <n v="64"/>
    <s v="MA"/>
    <s v="Bachelor"/>
    <s v="Full-Time"/>
    <x v="9"/>
    <n v="46799"/>
    <n v="850"/>
    <s v="Mortgage"/>
    <n v="0"/>
    <n v="906"/>
    <x v="3"/>
    <x v="2"/>
    <x v="1"/>
    <x v="1"/>
  </r>
  <r>
    <s v="LN-00131"/>
    <s v="BRW-0107"/>
    <d v="2024-01-17T00:00:00"/>
    <s v="Vacation"/>
    <x v="115"/>
    <n v="48"/>
    <n v="14.52"/>
    <n v="1064.9000000000001"/>
    <n v="49.5"/>
    <s v="Default"/>
    <n v="44"/>
    <x v="1"/>
    <n v="30"/>
    <s v="MO"/>
    <s v="High School"/>
    <s v="Full-Time"/>
    <x v="20"/>
    <n v="48711"/>
    <n v="619"/>
    <s v="Own"/>
    <n v="3"/>
    <n v="945"/>
    <x v="1"/>
    <x v="1"/>
    <x v="1"/>
    <x v="0"/>
  </r>
  <r>
    <s v="LN-00132"/>
    <s v="BRW-0108"/>
    <d v="2024-06-01T00:00:00"/>
    <s v="Debt Consolidation"/>
    <x v="116"/>
    <n v="60"/>
    <n v="9.2799999999999994"/>
    <n v="254.91"/>
    <n v="32.4"/>
    <s v="Current"/>
    <n v="0"/>
    <x v="0"/>
    <n v="54"/>
    <s v="NJ"/>
    <s v="Master"/>
    <s v="Contract"/>
    <x v="4"/>
    <n v="76648"/>
    <n v="781"/>
    <s v="Rent"/>
    <n v="3"/>
    <n v="1815"/>
    <x v="3"/>
    <x v="2"/>
    <x v="1"/>
    <x v="1"/>
  </r>
  <r>
    <s v="LN-00133"/>
    <s v="BRW-0109"/>
    <d v="2024-05-13T00:00:00"/>
    <s v="Vacation"/>
    <x v="88"/>
    <n v="60"/>
    <n v="8.1"/>
    <n v="349.58"/>
    <n v="38"/>
    <s v="Default"/>
    <n v="42"/>
    <x v="1"/>
    <n v="26"/>
    <s v="VA"/>
    <s v="High School"/>
    <s v="Retired"/>
    <x v="0"/>
    <n v="31605"/>
    <n v="728"/>
    <s v="Rent"/>
    <n v="0"/>
    <n v="651"/>
    <x v="2"/>
    <x v="1"/>
    <x v="2"/>
    <x v="0"/>
  </r>
  <r>
    <s v="LN-00134"/>
    <s v="BRW-0110"/>
    <d v="2024-04-18T00:00:00"/>
    <s v="Home Improvement"/>
    <x v="117"/>
    <n v="60"/>
    <n v="9.09"/>
    <n v="212.18"/>
    <n v="13.5"/>
    <s v="Default"/>
    <n v="86"/>
    <x v="1"/>
    <n v="38"/>
    <s v="CO"/>
    <s v="Bachelor"/>
    <s v="Full-Time"/>
    <x v="4"/>
    <n v="83526"/>
    <n v="674"/>
    <s v="Mortgage"/>
    <n v="3"/>
    <n v="725"/>
    <x v="4"/>
    <x v="2"/>
    <x v="1"/>
    <x v="2"/>
  </r>
  <r>
    <s v="LN-00135"/>
    <s v="BRW-0110"/>
    <d v="2024-05-20T00:00:00"/>
    <s v="Home Improvement"/>
    <x v="118"/>
    <n v="48"/>
    <n v="10.39"/>
    <n v="574.88"/>
    <n v="18.7"/>
    <s v="Late"/>
    <n v="30"/>
    <x v="0"/>
    <n v="38"/>
    <s v="CO"/>
    <s v="Bachelor"/>
    <s v="Full-Time"/>
    <x v="4"/>
    <n v="83526"/>
    <n v="674"/>
    <s v="Mortgage"/>
    <n v="3"/>
    <n v="725"/>
    <x v="4"/>
    <x v="2"/>
    <x v="1"/>
    <x v="2"/>
  </r>
  <r>
    <s v="LN-00136"/>
    <s v="BRW-0111"/>
    <d v="2024-06-21T00:00:00"/>
    <s v="Medical Expenses"/>
    <x v="119"/>
    <n v="24"/>
    <n v="12.17"/>
    <n v="306.49"/>
    <n v="57.1"/>
    <s v="Current"/>
    <n v="0"/>
    <x v="0"/>
    <n v="36"/>
    <s v="CO"/>
    <s v="Bachelor"/>
    <s v="Part-Time"/>
    <x v="23"/>
    <n v="55425"/>
    <n v="697"/>
    <s v="Mortgage"/>
    <n v="3"/>
    <n v="2331"/>
    <x v="4"/>
    <x v="0"/>
    <x v="1"/>
    <x v="0"/>
  </r>
  <r>
    <s v="LN-00137"/>
    <s v="BRW-0112"/>
    <d v="2024-06-10T00:00:00"/>
    <s v="Debt Consolidation"/>
    <x v="37"/>
    <n v="60"/>
    <n v="12.73"/>
    <n v="366.36"/>
    <n v="59.5"/>
    <s v="Default"/>
    <n v="154"/>
    <x v="1"/>
    <n v="41"/>
    <s v="FL"/>
    <s v="Bachelor"/>
    <s v="Full-Time"/>
    <x v="11"/>
    <n v="43493"/>
    <n v="549"/>
    <s v="Rent"/>
    <n v="0"/>
    <n v="1789"/>
    <x v="0"/>
    <x v="0"/>
    <x v="1"/>
    <x v="1"/>
  </r>
  <r>
    <s v="LN-00138"/>
    <s v="BRW-0112"/>
    <d v="2024-10-17T00:00:00"/>
    <s v="Home Improvement"/>
    <x v="52"/>
    <n v="12"/>
    <n v="14.38"/>
    <n v="359.86"/>
    <n v="59.3"/>
    <s v="Default"/>
    <n v="151"/>
    <x v="1"/>
    <n v="41"/>
    <s v="FL"/>
    <s v="Bachelor"/>
    <s v="Full-Time"/>
    <x v="11"/>
    <n v="43493"/>
    <n v="549"/>
    <s v="Rent"/>
    <n v="0"/>
    <n v="1789"/>
    <x v="0"/>
    <x v="0"/>
    <x v="1"/>
    <x v="2"/>
  </r>
  <r>
    <s v="LN-00139"/>
    <s v="BRW-0113"/>
    <d v="2024-06-27T00:00:00"/>
    <s v="Business Loan"/>
    <x v="53"/>
    <n v="48"/>
    <n v="8.3800000000000008"/>
    <n v="354.12"/>
    <n v="29.9"/>
    <s v="Current"/>
    <n v="0"/>
    <x v="0"/>
    <n v="30"/>
    <s v="AL"/>
    <s v="Bachelor"/>
    <s v="Full-Time"/>
    <x v="0"/>
    <n v="101170"/>
    <n v="821"/>
    <s v="Mortgage"/>
    <n v="0"/>
    <n v="2170"/>
    <x v="3"/>
    <x v="2"/>
    <x v="1"/>
    <x v="2"/>
  </r>
  <r>
    <s v="LN-00140"/>
    <s v="BRW-0114"/>
    <d v="2024-08-29T00:00:00"/>
    <s v="Home Improvement"/>
    <x v="120"/>
    <n v="36"/>
    <n v="10.79"/>
    <n v="1292.52"/>
    <n v="73.400000000000006"/>
    <s v="Default"/>
    <n v="165"/>
    <x v="1"/>
    <n v="28"/>
    <s v="OH"/>
    <s v="Master"/>
    <s v="Part-Time"/>
    <x v="10"/>
    <n v="74343"/>
    <n v="678"/>
    <s v="Rent"/>
    <n v="1"/>
    <n v="3254"/>
    <x v="4"/>
    <x v="0"/>
    <x v="1"/>
    <x v="2"/>
  </r>
  <r>
    <s v="LN-00141"/>
    <s v="BRW-0115"/>
    <d v="2025-04-20T00:00:00"/>
    <s v="Wedding"/>
    <x v="15"/>
    <n v="60"/>
    <n v="8.3699999999999992"/>
    <n v="484.76"/>
    <n v="25.1"/>
    <s v="Current"/>
    <n v="0"/>
    <x v="0"/>
    <n v="45"/>
    <s v="NC"/>
    <s v="High School"/>
    <s v="Self-Employed"/>
    <x v="21"/>
    <n v="41565"/>
    <n v="850"/>
    <s v="Own"/>
    <n v="0"/>
    <n v="384"/>
    <x v="3"/>
    <x v="2"/>
    <x v="0"/>
    <x v="0"/>
  </r>
  <r>
    <s v="LN-00142"/>
    <s v="BRW-0115"/>
    <d v="2024-06-12T00:00:00"/>
    <s v="Business Loan"/>
    <x v="121"/>
    <n v="48"/>
    <n v="8.32"/>
    <n v="108.08"/>
    <n v="14.2"/>
    <s v="Late"/>
    <n v="0"/>
    <x v="0"/>
    <n v="45"/>
    <s v="NC"/>
    <s v="High School"/>
    <s v="Self-Employed"/>
    <x v="21"/>
    <n v="41565"/>
    <n v="850"/>
    <s v="Own"/>
    <n v="0"/>
    <n v="384"/>
    <x v="3"/>
    <x v="2"/>
    <x v="0"/>
    <x v="2"/>
  </r>
  <r>
    <s v="LN-00143"/>
    <s v="BRW-0116"/>
    <d v="2024-02-23T00:00:00"/>
    <s v="Major Purchase"/>
    <x v="122"/>
    <n v="48"/>
    <n v="11.22"/>
    <n v="451.57"/>
    <n v="56.4"/>
    <s v="Paid Off"/>
    <n v="0"/>
    <x v="0"/>
    <n v="51"/>
    <s v="GA"/>
    <s v="High School"/>
    <s v="Full-Time"/>
    <x v="20"/>
    <n v="44910"/>
    <n v="540"/>
    <s v="Rent"/>
    <n v="4"/>
    <n v="1659"/>
    <x v="0"/>
    <x v="0"/>
    <x v="1"/>
    <x v="1"/>
  </r>
  <r>
    <s v="LN-00144"/>
    <s v="BRW-0117"/>
    <d v="2024-11-29T00:00:00"/>
    <s v="Home Improvement"/>
    <x v="123"/>
    <n v="48"/>
    <n v="12.38"/>
    <n v="111.39"/>
    <n v="39.299999999999997"/>
    <s v="Paid Off"/>
    <n v="0"/>
    <x v="0"/>
    <n v="35"/>
    <s v="IL"/>
    <s v="High School"/>
    <s v="Self-Employed"/>
    <x v="23"/>
    <n v="29691"/>
    <n v="635"/>
    <s v="Mortgage"/>
    <n v="2"/>
    <n v="861"/>
    <x v="1"/>
    <x v="1"/>
    <x v="0"/>
    <x v="2"/>
  </r>
  <r>
    <s v="LN-00145"/>
    <s v="BRW-0118"/>
    <d v="2025-01-19T00:00:00"/>
    <s v="Home Improvement"/>
    <x v="124"/>
    <n v="48"/>
    <n v="13.3"/>
    <n v="169.95"/>
    <n v="8.8000000000000007"/>
    <s v="Current"/>
    <n v="0"/>
    <x v="0"/>
    <n v="39"/>
    <s v="OK"/>
    <s v="Master"/>
    <s v="Full-Time"/>
    <x v="6"/>
    <n v="65753"/>
    <n v="663"/>
    <s v="Own"/>
    <n v="0"/>
    <n v="314"/>
    <x v="4"/>
    <x v="2"/>
    <x v="1"/>
    <x v="2"/>
  </r>
  <r>
    <s v="LN-00146"/>
    <s v="BRW-0119"/>
    <d v="2025-01-17T00:00:00"/>
    <s v="Major Purchase"/>
    <x v="125"/>
    <n v="48"/>
    <n v="10.99"/>
    <n v="656.35"/>
    <n v="41.1"/>
    <s v="Default"/>
    <n v="79"/>
    <x v="1"/>
    <n v="37"/>
    <s v="AL"/>
    <s v="Bachelor"/>
    <s v="Full-Time"/>
    <x v="14"/>
    <n v="57530"/>
    <n v="594"/>
    <s v="Mortgage"/>
    <n v="0"/>
    <n v="1314"/>
    <x v="0"/>
    <x v="1"/>
    <x v="1"/>
    <x v="1"/>
  </r>
  <r>
    <s v="LN-00147"/>
    <s v="BRW-0120"/>
    <d v="2024-05-19T00:00:00"/>
    <s v="Auto Loan"/>
    <x v="40"/>
    <n v="60"/>
    <n v="6.15"/>
    <n v="131.94"/>
    <n v="33.200000000000003"/>
    <s v="Default"/>
    <n v="149"/>
    <x v="1"/>
    <n v="45"/>
    <s v="UT"/>
    <s v="Bachelor"/>
    <s v="Full-Time"/>
    <x v="18"/>
    <n v="72744"/>
    <n v="849"/>
    <s v="Rent"/>
    <n v="3"/>
    <n v="1883"/>
    <x v="3"/>
    <x v="2"/>
    <x v="1"/>
    <x v="1"/>
  </r>
  <r>
    <s v="LN-00148"/>
    <s v="BRW-0121"/>
    <d v="2024-06-23T00:00:00"/>
    <s v="Medical Expenses"/>
    <x v="126"/>
    <n v="36"/>
    <n v="10.52"/>
    <n v="409.65"/>
    <n v="31.9"/>
    <s v="Current"/>
    <n v="0"/>
    <x v="0"/>
    <n v="51"/>
    <s v="TN"/>
    <s v="Bachelor"/>
    <s v="Full-Time"/>
    <x v="25"/>
    <n v="104309"/>
    <n v="750"/>
    <s v="Rent"/>
    <n v="2"/>
    <n v="2362"/>
    <x v="3"/>
    <x v="2"/>
    <x v="1"/>
    <x v="0"/>
  </r>
  <r>
    <s v="LN-00149"/>
    <s v="BRW-0122"/>
    <d v="2025-04-18T00:00:00"/>
    <s v="Moving"/>
    <x v="127"/>
    <n v="60"/>
    <n v="8.3000000000000007"/>
    <n v="635.07000000000005"/>
    <n v="49.3"/>
    <s v="Paid Off"/>
    <n v="0"/>
    <x v="0"/>
    <n v="27"/>
    <s v="WI"/>
    <s v="Associate"/>
    <s v="Full-Time"/>
    <x v="6"/>
    <n v="35230"/>
    <n v="844"/>
    <s v="Mortgage"/>
    <n v="1"/>
    <n v="812"/>
    <x v="3"/>
    <x v="1"/>
    <x v="1"/>
    <x v="0"/>
  </r>
  <r>
    <s v="LN-00150"/>
    <s v="BRW-0123"/>
    <d v="2024-01-06T00:00:00"/>
    <s v="Education"/>
    <x v="106"/>
    <n v="60"/>
    <n v="11.2"/>
    <n v="224.98"/>
    <n v="27.6"/>
    <s v="Paid Off"/>
    <n v="0"/>
    <x v="0"/>
    <n v="60"/>
    <s v="CT"/>
    <s v="Bachelor"/>
    <s v="Self-Employed"/>
    <x v="14"/>
    <n v="47899"/>
    <n v="812"/>
    <s v="Mortgage"/>
    <n v="0"/>
    <n v="876"/>
    <x v="3"/>
    <x v="2"/>
    <x v="0"/>
    <x v="2"/>
  </r>
  <r>
    <s v="LN-00151"/>
    <s v="BRW-0124"/>
    <d v="2024-04-10T00:00:00"/>
    <s v="Moving"/>
    <x v="128"/>
    <n v="48"/>
    <n v="12.47"/>
    <n v="316.13"/>
    <n v="35"/>
    <s v="Current"/>
    <n v="0"/>
    <x v="0"/>
    <n v="51"/>
    <s v="IL"/>
    <s v="Bachelor"/>
    <s v="Self-Employed"/>
    <x v="19"/>
    <n v="60540"/>
    <n v="695"/>
    <s v="Mortgage"/>
    <n v="2"/>
    <n v="1448"/>
    <x v="4"/>
    <x v="2"/>
    <x v="0"/>
    <x v="0"/>
  </r>
  <r>
    <s v="LN-00152"/>
    <s v="BRW-0125"/>
    <d v="2024-04-02T00:00:00"/>
    <s v="Major Purchase"/>
    <x v="129"/>
    <n v="36"/>
    <n v="9.11"/>
    <n v="267.55"/>
    <n v="38.200000000000003"/>
    <s v="Default"/>
    <n v="108"/>
    <x v="1"/>
    <n v="27"/>
    <s v="MD"/>
    <s v="Master"/>
    <s v="Full-Time"/>
    <x v="9"/>
    <n v="62885"/>
    <n v="725"/>
    <s v="Mortgage"/>
    <n v="4"/>
    <n v="1733"/>
    <x v="2"/>
    <x v="1"/>
    <x v="1"/>
    <x v="1"/>
  </r>
  <r>
    <s v="LN-00153"/>
    <s v="BRW-0126"/>
    <d v="2025-04-19T00:00:00"/>
    <s v="Vacation"/>
    <x v="130"/>
    <n v="12"/>
    <n v="12.45"/>
    <n v="3375.35"/>
    <n v="98.6"/>
    <s v="Late"/>
    <n v="15"/>
    <x v="0"/>
    <n v="64"/>
    <s v="WI"/>
    <s v="High School"/>
    <s v="Full-Time"/>
    <x v="20"/>
    <n v="45819"/>
    <n v="746"/>
    <s v="Rent"/>
    <n v="1"/>
    <n v="388"/>
    <x v="2"/>
    <x v="3"/>
    <x v="1"/>
    <x v="0"/>
  </r>
  <r>
    <s v="LN-00154"/>
    <s v="BRW-0127"/>
    <d v="2024-03-13T00:00:00"/>
    <s v="Education"/>
    <x v="131"/>
    <n v="12"/>
    <n v="14.64"/>
    <n v="2702.66"/>
    <n v="100.5"/>
    <s v="Default"/>
    <n v="115"/>
    <x v="1"/>
    <n v="54"/>
    <s v="VA"/>
    <s v="Associate"/>
    <s v="Self-Employed"/>
    <x v="2"/>
    <n v="39760"/>
    <n v="580"/>
    <s v="Rent"/>
    <n v="0"/>
    <n v="627"/>
    <x v="0"/>
    <x v="3"/>
    <x v="0"/>
    <x v="2"/>
  </r>
  <r>
    <s v="LN-00155"/>
    <s v="BRW-0128"/>
    <d v="2024-07-31T00:00:00"/>
    <s v="Auto Loan"/>
    <x v="132"/>
    <n v="60"/>
    <n v="8.5500000000000007"/>
    <n v="306.06"/>
    <n v="21"/>
    <s v="Paid Off"/>
    <n v="0"/>
    <x v="0"/>
    <n v="36"/>
    <s v="MN"/>
    <s v="Master"/>
    <s v="Contract"/>
    <x v="10"/>
    <n v="138216"/>
    <n v="850"/>
    <s v="Mortgage"/>
    <n v="3"/>
    <n v="2116"/>
    <x v="3"/>
    <x v="2"/>
    <x v="1"/>
    <x v="1"/>
  </r>
  <r>
    <s v="LN-00156"/>
    <s v="BRW-0129"/>
    <d v="2024-04-23T00:00:00"/>
    <s v="Debt Consolidation"/>
    <x v="133"/>
    <n v="36"/>
    <n v="12.54"/>
    <n v="1529.71"/>
    <n v="50.5"/>
    <s v="Current"/>
    <n v="0"/>
    <x v="0"/>
    <n v="33"/>
    <s v="IL"/>
    <s v="Associate"/>
    <s v="Self-Employed"/>
    <x v="10"/>
    <n v="71975"/>
    <n v="714"/>
    <s v="Own"/>
    <n v="2"/>
    <n v="1501"/>
    <x v="2"/>
    <x v="0"/>
    <x v="0"/>
    <x v="1"/>
  </r>
  <r>
    <s v="LN-00157"/>
    <s v="BRW-0130"/>
    <d v="2024-12-08T00:00:00"/>
    <s v="Moving"/>
    <x v="134"/>
    <n v="24"/>
    <n v="7.43"/>
    <n v="1124.19"/>
    <n v="59.5"/>
    <s v="Current"/>
    <n v="0"/>
    <x v="0"/>
    <n v="31"/>
    <s v="MA"/>
    <s v="Master"/>
    <s v="Retired"/>
    <x v="20"/>
    <n v="37483"/>
    <n v="796"/>
    <s v="Mortgage"/>
    <n v="1"/>
    <n v="734"/>
    <x v="3"/>
    <x v="0"/>
    <x v="2"/>
    <x v="0"/>
  </r>
  <r>
    <s v="LN-00158"/>
    <s v="BRW-0131"/>
    <d v="2024-09-30T00:00:00"/>
    <s v="Wedding"/>
    <x v="135"/>
    <n v="24"/>
    <n v="12.42"/>
    <n v="1555.18"/>
    <n v="63.7"/>
    <s v="Current"/>
    <n v="0"/>
    <x v="0"/>
    <n v="68"/>
    <s v="WI"/>
    <s v="Associate"/>
    <s v="Retired"/>
    <x v="11"/>
    <n v="34167"/>
    <n v="551"/>
    <s v="Own"/>
    <n v="0"/>
    <n v="258"/>
    <x v="0"/>
    <x v="0"/>
    <x v="2"/>
    <x v="0"/>
  </r>
  <r>
    <s v="LN-00159"/>
    <s v="BRW-0131"/>
    <d v="2025-04-26T00:00:00"/>
    <s v="Education"/>
    <x v="49"/>
    <n v="60"/>
    <n v="14.96"/>
    <n v="306.62"/>
    <n v="19.8"/>
    <s v="Current"/>
    <n v="0"/>
    <x v="0"/>
    <n v="68"/>
    <s v="WI"/>
    <s v="Associate"/>
    <s v="Retired"/>
    <x v="11"/>
    <n v="34167"/>
    <n v="551"/>
    <s v="Own"/>
    <n v="0"/>
    <n v="258"/>
    <x v="0"/>
    <x v="2"/>
    <x v="2"/>
    <x v="2"/>
  </r>
  <r>
    <s v="LN-00160"/>
    <s v="BRW-0132"/>
    <d v="2025-04-13T00:00:00"/>
    <s v="Wedding"/>
    <x v="17"/>
    <n v="12"/>
    <n v="9.7100000000000009"/>
    <n v="3010.89"/>
    <n v="63"/>
    <s v="Default"/>
    <n v="130"/>
    <x v="1"/>
    <n v="50"/>
    <s v="FL"/>
    <s v="Bachelor"/>
    <s v="Full-Time"/>
    <x v="0"/>
    <n v="68802"/>
    <n v="674"/>
    <s v="Rent"/>
    <n v="1"/>
    <n v="604"/>
    <x v="4"/>
    <x v="0"/>
    <x v="1"/>
    <x v="0"/>
  </r>
  <r>
    <s v="LN-00161"/>
    <s v="BRW-0133"/>
    <d v="2024-05-31T00:00:00"/>
    <s v="Auto Loan"/>
    <x v="136"/>
    <n v="24"/>
    <n v="12"/>
    <n v="268.32"/>
    <n v="19.100000000000001"/>
    <s v="Late"/>
    <n v="15"/>
    <x v="0"/>
    <n v="65"/>
    <s v="WI"/>
    <s v="Bachelor"/>
    <s v="Full-Time"/>
    <x v="7"/>
    <n v="83163"/>
    <n v="563"/>
    <s v="Mortgage"/>
    <n v="0"/>
    <n v="1054"/>
    <x v="0"/>
    <x v="2"/>
    <x v="1"/>
    <x v="1"/>
  </r>
  <r>
    <s v="LN-00162"/>
    <s v="BRW-0133"/>
    <d v="2025-04-30T00:00:00"/>
    <s v="Debt Consolidation"/>
    <x v="137"/>
    <n v="60"/>
    <n v="15.28"/>
    <n v="1160.95"/>
    <n v="32"/>
    <s v="Late"/>
    <n v="0"/>
    <x v="0"/>
    <n v="65"/>
    <s v="WI"/>
    <s v="Bachelor"/>
    <s v="Full-Time"/>
    <x v="7"/>
    <n v="83163"/>
    <n v="563"/>
    <s v="Mortgage"/>
    <n v="0"/>
    <n v="1054"/>
    <x v="0"/>
    <x v="2"/>
    <x v="1"/>
    <x v="1"/>
  </r>
  <r>
    <s v="LN-00163"/>
    <s v="BRW-0134"/>
    <d v="2025-02-25T00:00:00"/>
    <s v="Home Improvement"/>
    <x v="138"/>
    <n v="60"/>
    <n v="13.29"/>
    <n v="485.52"/>
    <n v="31.3"/>
    <s v="Paid Off"/>
    <n v="0"/>
    <x v="0"/>
    <n v="35"/>
    <s v="AZ"/>
    <s v="Master"/>
    <s v="Self-Employed"/>
    <x v="10"/>
    <n v="79434"/>
    <n v="596"/>
    <s v="Mortgage"/>
    <n v="0"/>
    <n v="1589"/>
    <x v="0"/>
    <x v="2"/>
    <x v="0"/>
    <x v="2"/>
  </r>
  <r>
    <s v="LN-00164"/>
    <s v="BRW-0135"/>
    <d v="2024-11-09T00:00:00"/>
    <s v="Moving"/>
    <x v="139"/>
    <n v="36"/>
    <n v="11.07"/>
    <n v="668.55"/>
    <n v="30.1"/>
    <s v="Current"/>
    <n v="0"/>
    <x v="0"/>
    <n v="67"/>
    <s v="AL"/>
    <s v="Associate"/>
    <s v="Part-Time"/>
    <x v="1"/>
    <n v="33144"/>
    <n v="706"/>
    <s v="Mortgage"/>
    <n v="0"/>
    <n v="163"/>
    <x v="2"/>
    <x v="2"/>
    <x v="1"/>
    <x v="0"/>
  </r>
  <r>
    <s v="LN-00165"/>
    <s v="BRW-0136"/>
    <d v="2024-06-13T00:00:00"/>
    <s v="Debt Consolidation"/>
    <x v="3"/>
    <n v="24"/>
    <n v="8.93"/>
    <n v="420"/>
    <n v="30.1"/>
    <s v="Paid Off"/>
    <n v="0"/>
    <x v="0"/>
    <n v="26"/>
    <s v="WA"/>
    <s v="Master"/>
    <s v="Part-Time"/>
    <x v="20"/>
    <n v="57088"/>
    <n v="850"/>
    <s v="Mortgage"/>
    <n v="0"/>
    <n v="1010"/>
    <x v="3"/>
    <x v="2"/>
    <x v="1"/>
    <x v="1"/>
  </r>
  <r>
    <s v="LN-00166"/>
    <s v="BRW-0136"/>
    <d v="2025-03-27T00:00:00"/>
    <s v="Medical Expenses"/>
    <x v="100"/>
    <n v="36"/>
    <n v="8.7100000000000009"/>
    <n v="161.49"/>
    <n v="24.6"/>
    <s v="Current"/>
    <n v="0"/>
    <x v="0"/>
    <n v="26"/>
    <s v="WA"/>
    <s v="Master"/>
    <s v="Part-Time"/>
    <x v="20"/>
    <n v="57088"/>
    <n v="850"/>
    <s v="Mortgage"/>
    <n v="0"/>
    <n v="1010"/>
    <x v="3"/>
    <x v="2"/>
    <x v="1"/>
    <x v="0"/>
  </r>
  <r>
    <s v="LN-00167"/>
    <s v="BRW-0137"/>
    <d v="2024-06-15T00:00:00"/>
    <s v="Education"/>
    <x v="99"/>
    <n v="48"/>
    <n v="10.07"/>
    <n v="231.11"/>
    <n v="13.3"/>
    <s v="Current"/>
    <n v="0"/>
    <x v="0"/>
    <n v="61"/>
    <s v="MD"/>
    <s v="Bachelor"/>
    <s v="Self-Employed"/>
    <x v="0"/>
    <n v="63686"/>
    <n v="758"/>
    <s v="Own"/>
    <n v="1"/>
    <n v="474"/>
    <x v="3"/>
    <x v="2"/>
    <x v="0"/>
    <x v="2"/>
  </r>
  <r>
    <s v="LN-00168"/>
    <s v="BRW-0138"/>
    <d v="2025-06-03T00:00:00"/>
    <s v="Medical Expenses"/>
    <x v="36"/>
    <n v="24"/>
    <n v="10.199999999999999"/>
    <n v="2150.0300000000002"/>
    <n v="71.5"/>
    <s v="Default"/>
    <n v="105"/>
    <x v="1"/>
    <n v="41"/>
    <s v="IN"/>
    <s v="Master"/>
    <s v="Full-Time"/>
    <x v="19"/>
    <n v="121448"/>
    <n v="589"/>
    <s v="Mortgage"/>
    <n v="1"/>
    <n v="5090"/>
    <x v="0"/>
    <x v="0"/>
    <x v="1"/>
    <x v="0"/>
  </r>
  <r>
    <s v="LN-00169"/>
    <s v="BRW-0138"/>
    <d v="2025-03-28T00:00:00"/>
    <s v="Vacation"/>
    <x v="137"/>
    <n v="60"/>
    <n v="13.52"/>
    <n v="1116.48"/>
    <n v="61.3"/>
    <s v="Default"/>
    <n v="58"/>
    <x v="1"/>
    <n v="41"/>
    <s v="IN"/>
    <s v="Master"/>
    <s v="Full-Time"/>
    <x v="19"/>
    <n v="121448"/>
    <n v="589"/>
    <s v="Mortgage"/>
    <n v="1"/>
    <n v="5090"/>
    <x v="0"/>
    <x v="0"/>
    <x v="1"/>
    <x v="0"/>
  </r>
  <r>
    <s v="LN-00170"/>
    <s v="BRW-0139"/>
    <d v="2024-08-13T00:00:00"/>
    <s v="Debt Consolidation"/>
    <x v="140"/>
    <n v="36"/>
    <n v="10.039999999999999"/>
    <n v="435.86"/>
    <n v="45.8"/>
    <s v="Current"/>
    <n v="0"/>
    <x v="0"/>
    <n v="44"/>
    <s v="NC"/>
    <s v="Bachelor"/>
    <s v="Retired"/>
    <x v="23"/>
    <n v="49067"/>
    <n v="605"/>
    <s v="Own"/>
    <n v="0"/>
    <n v="1436"/>
    <x v="1"/>
    <x v="1"/>
    <x v="2"/>
    <x v="1"/>
  </r>
  <r>
    <s v="LN-00171"/>
    <s v="BRW-0140"/>
    <d v="2024-03-26T00:00:00"/>
    <s v="Wedding"/>
    <x v="141"/>
    <n v="36"/>
    <n v="8.2799999999999994"/>
    <n v="626.16999999999996"/>
    <n v="64.900000000000006"/>
    <s v="Late"/>
    <n v="0"/>
    <x v="0"/>
    <n v="63"/>
    <s v="CT"/>
    <s v="High School"/>
    <s v="Retired"/>
    <x v="12"/>
    <n v="26701"/>
    <n v="762"/>
    <s v="Rent"/>
    <n v="2"/>
    <n v="818"/>
    <x v="3"/>
    <x v="0"/>
    <x v="2"/>
    <x v="0"/>
  </r>
  <r>
    <s v="LN-00172"/>
    <s v="BRW-0141"/>
    <d v="2024-02-27T00:00:00"/>
    <s v="Moving"/>
    <x v="47"/>
    <n v="60"/>
    <n v="10.53"/>
    <n v="236.6"/>
    <n v="29.5"/>
    <s v="Current"/>
    <n v="0"/>
    <x v="0"/>
    <n v="61"/>
    <s v="CO"/>
    <s v="Associate"/>
    <s v="Retired"/>
    <x v="1"/>
    <n v="26403"/>
    <n v="750"/>
    <s v="Mortgage"/>
    <n v="1"/>
    <n v="412"/>
    <x v="3"/>
    <x v="2"/>
    <x v="2"/>
    <x v="0"/>
  </r>
  <r>
    <s v="LN-00173"/>
    <s v="BRW-0142"/>
    <d v="2025-04-01T00:00:00"/>
    <s v="Education"/>
    <x v="142"/>
    <n v="36"/>
    <n v="12.52"/>
    <n v="87"/>
    <n v="49.7"/>
    <s v="Paid Off"/>
    <n v="0"/>
    <x v="0"/>
    <n v="25"/>
    <s v="MI"/>
    <s v="Bachelor"/>
    <s v="Full-Time"/>
    <x v="10"/>
    <n v="70059"/>
    <n v="554"/>
    <s v="Mortgage"/>
    <n v="0"/>
    <n v="2814"/>
    <x v="0"/>
    <x v="1"/>
    <x v="1"/>
    <x v="2"/>
  </r>
  <r>
    <s v="LN-00174"/>
    <s v="BRW-0142"/>
    <d v="2025-03-10T00:00:00"/>
    <s v="Vacation"/>
    <x v="143"/>
    <n v="48"/>
    <n v="12.21"/>
    <n v="578.97"/>
    <n v="58.1"/>
    <s v="Paid Off"/>
    <n v="0"/>
    <x v="0"/>
    <n v="25"/>
    <s v="MI"/>
    <s v="Bachelor"/>
    <s v="Full-Time"/>
    <x v="10"/>
    <n v="70059"/>
    <n v="554"/>
    <s v="Mortgage"/>
    <n v="0"/>
    <n v="2814"/>
    <x v="0"/>
    <x v="0"/>
    <x v="1"/>
    <x v="0"/>
  </r>
  <r>
    <s v="LN-00175"/>
    <s v="BRW-0143"/>
    <d v="2024-03-08T00:00:00"/>
    <s v="Medical Expenses"/>
    <x v="144"/>
    <n v="60"/>
    <n v="11.3"/>
    <n v="422.52"/>
    <n v="21.6"/>
    <s v="Current"/>
    <n v="0"/>
    <x v="0"/>
    <n v="27"/>
    <s v="KY"/>
    <s v="Bachelor"/>
    <s v="Full-Time"/>
    <x v="10"/>
    <n v="70121"/>
    <n v="818"/>
    <s v="Mortgage"/>
    <n v="2"/>
    <n v="842"/>
    <x v="3"/>
    <x v="2"/>
    <x v="1"/>
    <x v="0"/>
  </r>
  <r>
    <s v="LN-00176"/>
    <s v="BRW-0144"/>
    <d v="2024-05-20T00:00:00"/>
    <s v="Auto Loan"/>
    <x v="19"/>
    <n v="60"/>
    <n v="14.08"/>
    <n v="480.18"/>
    <n v="26.5"/>
    <s v="Default"/>
    <n v="127"/>
    <x v="1"/>
    <n v="60"/>
    <s v="NY"/>
    <s v="Bachelor"/>
    <s v="Full-Time"/>
    <x v="32"/>
    <n v="44547"/>
    <n v="582"/>
    <s v="Rent"/>
    <n v="1"/>
    <n v="505"/>
    <x v="0"/>
    <x v="2"/>
    <x v="1"/>
    <x v="1"/>
  </r>
  <r>
    <s v="LN-00177"/>
    <s v="BRW-0145"/>
    <d v="2025-04-19T00:00:00"/>
    <s v="Vacation"/>
    <x v="145"/>
    <n v="60"/>
    <n v="7.49"/>
    <n v="354.59"/>
    <n v="32.6"/>
    <s v="Current"/>
    <n v="0"/>
    <x v="0"/>
    <n v="37"/>
    <s v="UT"/>
    <s v="Master"/>
    <s v="Retired"/>
    <x v="6"/>
    <n v="59739"/>
    <n v="842"/>
    <s v="Mortgage"/>
    <n v="0"/>
    <n v="1266"/>
    <x v="3"/>
    <x v="2"/>
    <x v="2"/>
    <x v="0"/>
  </r>
  <r>
    <s v="LN-00178"/>
    <s v="BRW-0146"/>
    <d v="2025-05-18T00:00:00"/>
    <s v="Vacation"/>
    <x v="146"/>
    <n v="36"/>
    <n v="10.24"/>
    <n v="803.02"/>
    <n v="31.1"/>
    <s v="Current"/>
    <n v="0"/>
    <x v="0"/>
    <n v="43"/>
    <s v="MO"/>
    <s v="Bachelor"/>
    <s v="Full-Time"/>
    <x v="9"/>
    <n v="80850"/>
    <n v="711"/>
    <s v="Mortgage"/>
    <n v="2"/>
    <n v="1294"/>
    <x v="2"/>
    <x v="2"/>
    <x v="1"/>
    <x v="0"/>
  </r>
  <r>
    <s v="LN-00179"/>
    <s v="BRW-0147"/>
    <d v="2025-03-22T00:00:00"/>
    <s v="Vacation"/>
    <x v="68"/>
    <n v="36"/>
    <n v="12.72"/>
    <n v="174.51"/>
    <n v="25.8"/>
    <s v="Current"/>
    <n v="0"/>
    <x v="0"/>
    <n v="68"/>
    <s v="MN"/>
    <s v="Master"/>
    <s v="Retired"/>
    <x v="32"/>
    <n v="63786"/>
    <n v="611"/>
    <s v="Own"/>
    <n v="0"/>
    <n v="1195"/>
    <x v="1"/>
    <x v="2"/>
    <x v="2"/>
    <x v="0"/>
  </r>
  <r>
    <s v="LN-00180"/>
    <s v="BRW-0148"/>
    <d v="2024-06-15T00:00:00"/>
    <s v="Home Improvement"/>
    <x v="147"/>
    <n v="12"/>
    <n v="14.59"/>
    <n v="3350.42"/>
    <n v="96.8"/>
    <s v="Current"/>
    <n v="0"/>
    <x v="0"/>
    <n v="63"/>
    <s v="CO"/>
    <s v="Bachelor"/>
    <s v="Full-Time"/>
    <x v="3"/>
    <n v="78563"/>
    <n v="578"/>
    <s v="Mortgage"/>
    <n v="2"/>
    <n v="2989"/>
    <x v="0"/>
    <x v="3"/>
    <x v="1"/>
    <x v="2"/>
  </r>
  <r>
    <s v="LN-00181"/>
    <s v="BRW-0149"/>
    <d v="2024-12-30T00:00:00"/>
    <s v="Education"/>
    <x v="42"/>
    <n v="48"/>
    <n v="9.6999999999999993"/>
    <n v="322.8"/>
    <n v="10.5"/>
    <s v="Default"/>
    <n v="104"/>
    <x v="1"/>
    <n v="64"/>
    <s v="AZ"/>
    <s v="Master"/>
    <s v="Retired"/>
    <x v="6"/>
    <n v="84093"/>
    <n v="809"/>
    <s v="Mortgage"/>
    <n v="1"/>
    <n v="414"/>
    <x v="3"/>
    <x v="2"/>
    <x v="2"/>
    <x v="2"/>
  </r>
  <r>
    <s v="LN-00182"/>
    <s v="BRW-0150"/>
    <d v="2024-06-20T00:00:00"/>
    <s v="Home Improvement"/>
    <x v="148"/>
    <n v="24"/>
    <n v="10.86"/>
    <n v="1805.86"/>
    <n v="58.6"/>
    <s v="Late"/>
    <n v="15"/>
    <x v="0"/>
    <n v="41"/>
    <s v="IL"/>
    <s v="High School"/>
    <s v="Full-Time"/>
    <x v="0"/>
    <n v="55757"/>
    <n v="778"/>
    <s v="Own"/>
    <n v="0"/>
    <n v="919"/>
    <x v="3"/>
    <x v="0"/>
    <x v="1"/>
    <x v="2"/>
  </r>
  <r>
    <s v="LN-00183"/>
    <s v="BRW-0151"/>
    <d v="2024-12-26T00:00:00"/>
    <s v="Auto Loan"/>
    <x v="149"/>
    <n v="36"/>
    <n v="7"/>
    <n v="1096.1400000000001"/>
    <n v="26.5"/>
    <s v="Current"/>
    <n v="0"/>
    <x v="0"/>
    <n v="28"/>
    <s v="CT"/>
    <s v="Bachelor"/>
    <s v="Full-Time"/>
    <x v="10"/>
    <n v="87725"/>
    <n v="809"/>
    <s v="Rent"/>
    <n v="2"/>
    <n v="844"/>
    <x v="3"/>
    <x v="2"/>
    <x v="1"/>
    <x v="1"/>
  </r>
  <r>
    <s v="LN-00184"/>
    <s v="BRW-0152"/>
    <d v="2024-06-07T00:00:00"/>
    <s v="Vacation"/>
    <x v="150"/>
    <n v="24"/>
    <n v="6.36"/>
    <n v="1530.22"/>
    <n v="64.8"/>
    <s v="Paid Off"/>
    <n v="0"/>
    <x v="0"/>
    <n v="46"/>
    <s v="AL"/>
    <s v="High School"/>
    <s v="Full-Time"/>
    <x v="26"/>
    <n v="46788"/>
    <n v="849"/>
    <s v="Rent"/>
    <n v="1"/>
    <n v="995"/>
    <x v="3"/>
    <x v="0"/>
    <x v="1"/>
    <x v="0"/>
  </r>
  <r>
    <s v="LN-00185"/>
    <s v="BRW-0153"/>
    <d v="2024-03-19T00:00:00"/>
    <s v="Moving"/>
    <x v="58"/>
    <n v="12"/>
    <n v="9.35"/>
    <n v="3171.62"/>
    <n v="103.5"/>
    <s v="Default"/>
    <n v="63"/>
    <x v="1"/>
    <n v="65"/>
    <s v="MI"/>
    <s v="Master"/>
    <s v="Retired"/>
    <x v="7"/>
    <n v="64193"/>
    <n v="764"/>
    <s v="Mortgage"/>
    <n v="4"/>
    <n v="2365"/>
    <x v="3"/>
    <x v="3"/>
    <x v="2"/>
    <x v="0"/>
  </r>
  <r>
    <s v="LN-00186"/>
    <s v="BRW-0154"/>
    <d v="2025-06-19T00:00:00"/>
    <s v="Vacation"/>
    <x v="89"/>
    <n v="24"/>
    <n v="11.24"/>
    <n v="1466.99"/>
    <n v="54.3"/>
    <s v="Paid Off"/>
    <n v="0"/>
    <x v="0"/>
    <n v="34"/>
    <s v="WA"/>
    <s v="Bachelor"/>
    <s v="Retired"/>
    <x v="15"/>
    <n v="62044"/>
    <n v="771"/>
    <s v="Mortgage"/>
    <n v="1"/>
    <n v="1340"/>
    <x v="3"/>
    <x v="0"/>
    <x v="2"/>
    <x v="0"/>
  </r>
  <r>
    <s v="LN-00187"/>
    <s v="BRW-0154"/>
    <d v="2024-05-25T00:00:00"/>
    <s v="Debt Consolidation"/>
    <x v="151"/>
    <n v="24"/>
    <n v="11.43"/>
    <n v="360.42"/>
    <n v="32.9"/>
    <s v="Current"/>
    <n v="0"/>
    <x v="0"/>
    <n v="34"/>
    <s v="WA"/>
    <s v="Bachelor"/>
    <s v="Retired"/>
    <x v="15"/>
    <n v="62044"/>
    <n v="771"/>
    <s v="Mortgage"/>
    <n v="1"/>
    <n v="1340"/>
    <x v="3"/>
    <x v="2"/>
    <x v="2"/>
    <x v="1"/>
  </r>
  <r>
    <s v="LN-00188"/>
    <s v="BRW-0155"/>
    <d v="2025-05-10T00:00:00"/>
    <s v="Major Purchase"/>
    <x v="120"/>
    <n v="12"/>
    <n v="9.0399999999999991"/>
    <n v="3463.81"/>
    <n v="114.2"/>
    <s v="Current"/>
    <n v="0"/>
    <x v="0"/>
    <n v="32"/>
    <s v="OK"/>
    <s v="Master"/>
    <s v="Contract"/>
    <x v="10"/>
    <n v="66474"/>
    <n v="663"/>
    <s v="Mortgage"/>
    <n v="1"/>
    <n v="2864"/>
    <x v="4"/>
    <x v="3"/>
    <x v="1"/>
    <x v="1"/>
  </r>
  <r>
    <s v="LN-00189"/>
    <s v="BRW-0155"/>
    <d v="2024-11-04T00:00:00"/>
    <s v="Moving"/>
    <x v="152"/>
    <n v="36"/>
    <n v="9.17"/>
    <n v="781.03"/>
    <n v="65.8"/>
    <s v="Paid Off"/>
    <n v="0"/>
    <x v="0"/>
    <n v="32"/>
    <s v="OK"/>
    <s v="Master"/>
    <s v="Contract"/>
    <x v="10"/>
    <n v="66474"/>
    <n v="663"/>
    <s v="Mortgage"/>
    <n v="1"/>
    <n v="2864"/>
    <x v="4"/>
    <x v="0"/>
    <x v="1"/>
    <x v="0"/>
  </r>
  <r>
    <s v="LN-00190"/>
    <s v="BRW-0156"/>
    <d v="2024-05-29T00:00:00"/>
    <s v="Business Loan"/>
    <x v="153"/>
    <n v="36"/>
    <n v="9.86"/>
    <n v="373.54"/>
    <n v="32.5"/>
    <s v="Late"/>
    <n v="15"/>
    <x v="0"/>
    <n v="67"/>
    <s v="IN"/>
    <s v="Master"/>
    <s v="Contract"/>
    <x v="13"/>
    <n v="79058"/>
    <n v="617"/>
    <s v="Mortgage"/>
    <n v="0"/>
    <n v="1770"/>
    <x v="1"/>
    <x v="2"/>
    <x v="1"/>
    <x v="2"/>
  </r>
  <r>
    <s v="LN-00191"/>
    <s v="BRW-0156"/>
    <d v="2024-03-10T00:00:00"/>
    <s v="Education"/>
    <x v="113"/>
    <n v="60"/>
    <n v="10.93"/>
    <n v="933.42"/>
    <n v="41"/>
    <s v="Default"/>
    <n v="178"/>
    <x v="1"/>
    <n v="67"/>
    <s v="IN"/>
    <s v="Master"/>
    <s v="Contract"/>
    <x v="13"/>
    <n v="79058"/>
    <n v="617"/>
    <s v="Mortgage"/>
    <n v="0"/>
    <n v="1770"/>
    <x v="1"/>
    <x v="1"/>
    <x v="1"/>
    <x v="2"/>
  </r>
  <r>
    <s v="LN-00192"/>
    <s v="BRW-0157"/>
    <d v="2024-01-05T00:00:00"/>
    <s v="Moving"/>
    <x v="4"/>
    <n v="36"/>
    <n v="8.16"/>
    <n v="351.79"/>
    <n v="57.9"/>
    <s v="Current"/>
    <n v="0"/>
    <x v="0"/>
    <n v="36"/>
    <s v="VA"/>
    <s v="Master"/>
    <s v="Contract"/>
    <x v="18"/>
    <n v="134434"/>
    <n v="762"/>
    <s v="Mortgage"/>
    <n v="0"/>
    <n v="6130"/>
    <x v="3"/>
    <x v="0"/>
    <x v="1"/>
    <x v="0"/>
  </r>
  <r>
    <s v="LN-00193"/>
    <s v="BRW-0158"/>
    <d v="2024-04-19T00:00:00"/>
    <s v="Vacation"/>
    <x v="55"/>
    <n v="48"/>
    <n v="11.77"/>
    <n v="409.05"/>
    <n v="60.9"/>
    <s v="Default"/>
    <n v="120"/>
    <x v="1"/>
    <n v="45"/>
    <s v="TX"/>
    <s v="Associate"/>
    <s v="Full-Time"/>
    <x v="26"/>
    <n v="33977"/>
    <n v="696"/>
    <s v="Own"/>
    <n v="0"/>
    <n v="1316"/>
    <x v="4"/>
    <x v="0"/>
    <x v="1"/>
    <x v="0"/>
  </r>
  <r>
    <s v="LN-00194"/>
    <s v="BRW-0159"/>
    <d v="2024-11-17T00:00:00"/>
    <s v="Major Purchase"/>
    <x v="49"/>
    <n v="12"/>
    <n v="9.64"/>
    <n v="1131.96"/>
    <n v="61.1"/>
    <s v="Default"/>
    <n v="58"/>
    <x v="1"/>
    <n v="66"/>
    <s v="CA"/>
    <s v="Master"/>
    <s v="Self-Employed"/>
    <x v="10"/>
    <n v="94849"/>
    <n v="850"/>
    <s v="Rent"/>
    <n v="0"/>
    <n v="3695"/>
    <x v="3"/>
    <x v="0"/>
    <x v="0"/>
    <x v="1"/>
  </r>
  <r>
    <s v="LN-00195"/>
    <s v="BRW-0159"/>
    <d v="2024-02-11T00:00:00"/>
    <s v="Moving"/>
    <x v="154"/>
    <n v="36"/>
    <n v="8.6199999999999992"/>
    <n v="1075.19"/>
    <n v="60.4"/>
    <s v="Default"/>
    <n v="156"/>
    <x v="1"/>
    <n v="66"/>
    <s v="CA"/>
    <s v="Master"/>
    <s v="Self-Employed"/>
    <x v="10"/>
    <n v="94849"/>
    <n v="850"/>
    <s v="Rent"/>
    <n v="0"/>
    <n v="3695"/>
    <x v="3"/>
    <x v="0"/>
    <x v="0"/>
    <x v="0"/>
  </r>
  <r>
    <s v="LN-00196"/>
    <s v="BRW-0160"/>
    <d v="2025-02-21T00:00:00"/>
    <s v="Auto Loan"/>
    <x v="81"/>
    <n v="48"/>
    <n v="9.85"/>
    <n v="804.24"/>
    <n v="56.2"/>
    <s v="Default"/>
    <n v="139"/>
    <x v="1"/>
    <n v="57"/>
    <s v="TX"/>
    <s v="Master"/>
    <s v="Part-Time"/>
    <x v="8"/>
    <n v="50003"/>
    <n v="677"/>
    <s v="Mortgage"/>
    <n v="0"/>
    <n v="1539"/>
    <x v="4"/>
    <x v="0"/>
    <x v="1"/>
    <x v="1"/>
  </r>
  <r>
    <s v="LN-00197"/>
    <s v="BRW-0161"/>
    <d v="2025-05-18T00:00:00"/>
    <s v="Home Improvement"/>
    <x v="155"/>
    <n v="36"/>
    <n v="6.81"/>
    <n v="1247.01"/>
    <n v="56.1"/>
    <s v="Current"/>
    <n v="0"/>
    <x v="0"/>
    <n v="61"/>
    <s v="IN"/>
    <s v="Bachelor"/>
    <s v="Full-Time"/>
    <x v="17"/>
    <n v="98348"/>
    <n v="845"/>
    <s v="Own"/>
    <n v="2"/>
    <n v="3354"/>
    <x v="3"/>
    <x v="0"/>
    <x v="1"/>
    <x v="2"/>
  </r>
  <r>
    <s v="LN-00198"/>
    <s v="BRW-0162"/>
    <d v="2024-06-21T00:00:00"/>
    <s v="Home Improvement"/>
    <x v="156"/>
    <n v="60"/>
    <n v="12.59"/>
    <n v="157.81"/>
    <n v="29.2"/>
    <s v="Default"/>
    <n v="80"/>
    <x v="1"/>
    <n v="40"/>
    <s v="NY"/>
    <s v="Bachelor"/>
    <s v="Part-Time"/>
    <x v="6"/>
    <n v="30770"/>
    <n v="738"/>
    <s v="Rent"/>
    <n v="1"/>
    <n v="590"/>
    <x v="2"/>
    <x v="2"/>
    <x v="1"/>
    <x v="2"/>
  </r>
  <r>
    <s v="LN-00199"/>
    <s v="BRW-0163"/>
    <d v="2025-05-26T00:00:00"/>
    <s v="Wedding"/>
    <x v="157"/>
    <n v="24"/>
    <n v="15.11"/>
    <n v="1038.73"/>
    <n v="71.099999999999994"/>
    <s v="Default"/>
    <n v="178"/>
    <x v="1"/>
    <n v="55"/>
    <s v="TX"/>
    <s v="Bachelor"/>
    <s v="Self-Employed"/>
    <x v="31"/>
    <n v="72986"/>
    <n v="545"/>
    <s v="Rent"/>
    <n v="2"/>
    <n v="3287"/>
    <x v="0"/>
    <x v="0"/>
    <x v="0"/>
    <x v="0"/>
  </r>
  <r>
    <s v="LN-00200"/>
    <s v="BRW-0164"/>
    <d v="2025-06-07T00:00:00"/>
    <s v="Major Purchase"/>
    <x v="131"/>
    <n v="48"/>
    <n v="13.97"/>
    <n v="819.34"/>
    <n v="27.9"/>
    <s v="Current"/>
    <n v="0"/>
    <x v="0"/>
    <n v="38"/>
    <s v="AL"/>
    <s v="Master"/>
    <s v="Full-Time"/>
    <x v="20"/>
    <n v="60396"/>
    <n v="658"/>
    <s v="Rent"/>
    <n v="2"/>
    <n v="587"/>
    <x v="4"/>
    <x v="2"/>
    <x v="1"/>
    <x v="1"/>
  </r>
  <r>
    <s v="LN-00201"/>
    <s v="BRW-0165"/>
    <d v="2024-02-24T00:00:00"/>
    <s v="Vacation"/>
    <x v="158"/>
    <n v="12"/>
    <n v="7.71"/>
    <n v="2457.98"/>
    <n v="65.099999999999994"/>
    <s v="Current"/>
    <n v="0"/>
    <x v="0"/>
    <n v="44"/>
    <s v="PA"/>
    <s v="Bachelor"/>
    <s v="Contract"/>
    <x v="2"/>
    <n v="51770"/>
    <n v="767"/>
    <s v="Mortgage"/>
    <n v="3"/>
    <n v="351"/>
    <x v="3"/>
    <x v="0"/>
    <x v="1"/>
    <x v="0"/>
  </r>
  <r>
    <s v="LN-00202"/>
    <s v="BRW-0166"/>
    <d v="2024-03-19T00:00:00"/>
    <s v="Wedding"/>
    <x v="159"/>
    <n v="60"/>
    <n v="13.93"/>
    <n v="216.06"/>
    <n v="50.9"/>
    <s v="Current"/>
    <n v="0"/>
    <x v="0"/>
    <n v="51"/>
    <s v="IN"/>
    <s v="High School"/>
    <s v="Full-Time"/>
    <x v="28"/>
    <n v="50247"/>
    <n v="551"/>
    <s v="Rent"/>
    <n v="1"/>
    <n v="1916"/>
    <x v="0"/>
    <x v="0"/>
    <x v="1"/>
    <x v="0"/>
  </r>
  <r>
    <s v="LN-00203"/>
    <s v="BRW-0167"/>
    <d v="2024-01-19T00:00:00"/>
    <s v="Auto Loan"/>
    <x v="91"/>
    <n v="36"/>
    <n v="10.93"/>
    <n v="703.17"/>
    <n v="67"/>
    <s v="Current"/>
    <n v="0"/>
    <x v="0"/>
    <n v="52"/>
    <s v="NJ"/>
    <s v="Associate"/>
    <s v="Self-Employed"/>
    <x v="20"/>
    <n v="38228"/>
    <n v="707"/>
    <s v="Rent"/>
    <n v="0"/>
    <n v="1432"/>
    <x v="2"/>
    <x v="0"/>
    <x v="0"/>
    <x v="1"/>
  </r>
  <r>
    <s v="LN-00204"/>
    <s v="BRW-0168"/>
    <d v="2024-02-03T00:00:00"/>
    <s v="Major Purchase"/>
    <x v="160"/>
    <n v="48"/>
    <n v="9.85"/>
    <n v="1084.97"/>
    <n v="33.299999999999997"/>
    <s v="Paid Off"/>
    <n v="0"/>
    <x v="0"/>
    <n v="49"/>
    <s v="TN"/>
    <s v="Master"/>
    <s v="Self-Employed"/>
    <x v="16"/>
    <n v="131359"/>
    <n v="747"/>
    <s v="Rent"/>
    <n v="2"/>
    <n v="2557"/>
    <x v="2"/>
    <x v="2"/>
    <x v="0"/>
    <x v="1"/>
  </r>
  <r>
    <s v="LN-00205"/>
    <s v="BRW-0168"/>
    <d v="2024-04-22T00:00:00"/>
    <s v="Medical Expenses"/>
    <x v="161"/>
    <n v="48"/>
    <n v="9.99"/>
    <n v="215.54"/>
    <n v="25.3"/>
    <s v="Current"/>
    <n v="0"/>
    <x v="0"/>
    <n v="49"/>
    <s v="TN"/>
    <s v="Master"/>
    <s v="Self-Employed"/>
    <x v="16"/>
    <n v="131359"/>
    <n v="747"/>
    <s v="Rent"/>
    <n v="2"/>
    <n v="2557"/>
    <x v="2"/>
    <x v="2"/>
    <x v="0"/>
    <x v="0"/>
  </r>
  <r>
    <s v="LN-00206"/>
    <s v="BRW-0169"/>
    <d v="2024-09-26T00:00:00"/>
    <s v="Vacation"/>
    <x v="162"/>
    <n v="60"/>
    <n v="7.78"/>
    <n v="742.3"/>
    <n v="39.5"/>
    <s v="Late"/>
    <n v="30"/>
    <x v="0"/>
    <n v="55"/>
    <s v="NJ"/>
    <s v="Associate"/>
    <s v="Full-Time"/>
    <x v="21"/>
    <n v="49011"/>
    <n v="750"/>
    <s v="Mortgage"/>
    <n v="0"/>
    <n v="873"/>
    <x v="3"/>
    <x v="1"/>
    <x v="1"/>
    <x v="0"/>
  </r>
  <r>
    <s v="LN-00207"/>
    <s v="BRW-0170"/>
    <d v="2025-01-10T00:00:00"/>
    <s v="Auto Loan"/>
    <x v="163"/>
    <n v="12"/>
    <n v="8.11"/>
    <n v="217.6"/>
    <n v="32.299999999999997"/>
    <s v="Current"/>
    <n v="0"/>
    <x v="0"/>
    <n v="40"/>
    <s v="AL"/>
    <s v="Associate"/>
    <s v="Part-Time"/>
    <x v="21"/>
    <n v="26997"/>
    <n v="752"/>
    <s v="Mortgage"/>
    <n v="3"/>
    <n v="509"/>
    <x v="3"/>
    <x v="2"/>
    <x v="1"/>
    <x v="1"/>
  </r>
  <r>
    <s v="LN-00208"/>
    <s v="BRW-0171"/>
    <d v="2024-02-27T00:00:00"/>
    <s v="Education"/>
    <x v="73"/>
    <n v="36"/>
    <n v="12.59"/>
    <n v="515.85"/>
    <n v="56.6"/>
    <s v="Late"/>
    <n v="0"/>
    <x v="0"/>
    <n v="49"/>
    <s v="VA"/>
    <s v="Associate"/>
    <s v="Retired"/>
    <x v="32"/>
    <n v="43915"/>
    <n v="568"/>
    <s v="Mortgage"/>
    <n v="1"/>
    <n v="1555"/>
    <x v="0"/>
    <x v="0"/>
    <x v="2"/>
    <x v="2"/>
  </r>
  <r>
    <s v="LN-00209"/>
    <s v="BRW-0171"/>
    <d v="2024-06-22T00:00:00"/>
    <s v="Wedding"/>
    <x v="42"/>
    <n v="36"/>
    <n v="11.11"/>
    <n v="419.72"/>
    <n v="54"/>
    <s v="Default"/>
    <n v="113"/>
    <x v="1"/>
    <n v="49"/>
    <s v="VA"/>
    <s v="Associate"/>
    <s v="Retired"/>
    <x v="32"/>
    <n v="43915"/>
    <n v="568"/>
    <s v="Mortgage"/>
    <n v="1"/>
    <n v="1555"/>
    <x v="0"/>
    <x v="0"/>
    <x v="2"/>
    <x v="0"/>
  </r>
  <r>
    <s v="LN-00210"/>
    <s v="BRW-0172"/>
    <d v="2025-04-25T00:00:00"/>
    <s v="Major Purchase"/>
    <x v="164"/>
    <n v="36"/>
    <n v="7.2"/>
    <n v="1402.88"/>
    <n v="36.299999999999997"/>
    <s v="Late"/>
    <n v="30"/>
    <x v="0"/>
    <n v="32"/>
    <s v="GA"/>
    <s v="Doctorate"/>
    <s v="Full-Time"/>
    <x v="10"/>
    <n v="129991"/>
    <n v="774"/>
    <s v="Own"/>
    <n v="2"/>
    <n v="2525"/>
    <x v="3"/>
    <x v="1"/>
    <x v="1"/>
    <x v="1"/>
  </r>
  <r>
    <s v="LN-00211"/>
    <s v="BRW-0173"/>
    <d v="2025-05-29T00:00:00"/>
    <s v="Wedding"/>
    <x v="165"/>
    <n v="24"/>
    <n v="8.93"/>
    <n v="675.66"/>
    <n v="23.8"/>
    <s v="Current"/>
    <n v="0"/>
    <x v="0"/>
    <n v="46"/>
    <s v="LA"/>
    <s v="Master"/>
    <s v="Full-Time"/>
    <x v="21"/>
    <n v="67764"/>
    <n v="765"/>
    <s v="Mortgage"/>
    <n v="0"/>
    <n v="671"/>
    <x v="3"/>
    <x v="2"/>
    <x v="1"/>
    <x v="0"/>
  </r>
  <r>
    <s v="LN-00212"/>
    <s v="BRW-0174"/>
    <d v="2024-08-07T00:00:00"/>
    <s v="Major Purchase"/>
    <x v="166"/>
    <n v="12"/>
    <n v="14.49"/>
    <n v="1026.2"/>
    <n v="90.3"/>
    <s v="Default"/>
    <n v="42"/>
    <x v="1"/>
    <n v="45"/>
    <s v="TN"/>
    <s v="Bachelor"/>
    <s v="Part-Time"/>
    <x v="10"/>
    <n v="31088"/>
    <n v="583"/>
    <s v="Rent"/>
    <n v="1"/>
    <n v="1312"/>
    <x v="0"/>
    <x v="3"/>
    <x v="1"/>
    <x v="1"/>
  </r>
  <r>
    <s v="LN-00213"/>
    <s v="BRW-0175"/>
    <d v="2024-04-07T00:00:00"/>
    <s v="Wedding"/>
    <x v="167"/>
    <n v="12"/>
    <n v="9.5399999999999991"/>
    <n v="912.1"/>
    <n v="33.700000000000003"/>
    <s v="Current"/>
    <n v="0"/>
    <x v="0"/>
    <n v="29"/>
    <s v="TN"/>
    <s v="Associate"/>
    <s v="Full-Time"/>
    <x v="1"/>
    <n v="50017"/>
    <n v="843"/>
    <s v="Rent"/>
    <n v="0"/>
    <n v="491"/>
    <x v="3"/>
    <x v="2"/>
    <x v="1"/>
    <x v="0"/>
  </r>
  <r>
    <s v="LN-00214"/>
    <s v="BRW-0176"/>
    <d v="2024-11-03T00:00:00"/>
    <s v="Major Purchase"/>
    <x v="168"/>
    <n v="36"/>
    <n v="12.87"/>
    <n v="1032.48"/>
    <n v="56.3"/>
    <s v="Default"/>
    <n v="168"/>
    <x v="1"/>
    <n v="26"/>
    <s v="OK"/>
    <s v="Bachelor"/>
    <s v="Contract"/>
    <x v="0"/>
    <n v="68998"/>
    <n v="579"/>
    <s v="Rent"/>
    <n v="4"/>
    <n v="2207"/>
    <x v="0"/>
    <x v="0"/>
    <x v="1"/>
    <x v="1"/>
  </r>
  <r>
    <s v="LN-00215"/>
    <s v="BRW-0177"/>
    <d v="2024-07-03T00:00:00"/>
    <s v="Major Purchase"/>
    <x v="32"/>
    <n v="48"/>
    <n v="13.19"/>
    <n v="729.58"/>
    <n v="70.5"/>
    <s v="Current"/>
    <n v="0"/>
    <x v="0"/>
    <n v="67"/>
    <s v="IN"/>
    <s v="High School"/>
    <s v="Full-Time"/>
    <x v="21"/>
    <n v="53774"/>
    <n v="610"/>
    <s v="Rent"/>
    <n v="0"/>
    <n v="2431"/>
    <x v="1"/>
    <x v="0"/>
    <x v="1"/>
    <x v="1"/>
  </r>
  <r>
    <s v="LN-00216"/>
    <s v="BRW-0178"/>
    <d v="2025-06-29T00:00:00"/>
    <s v="Vacation"/>
    <x v="169"/>
    <n v="48"/>
    <n v="7.62"/>
    <n v="598.6"/>
    <n v="64.8"/>
    <s v="Late"/>
    <n v="15"/>
    <x v="0"/>
    <n v="30"/>
    <s v="MO"/>
    <s v="Associate"/>
    <s v="Full-Time"/>
    <x v="6"/>
    <n v="46073"/>
    <n v="823"/>
    <s v="Mortgage"/>
    <n v="0"/>
    <n v="1889"/>
    <x v="3"/>
    <x v="0"/>
    <x v="1"/>
    <x v="0"/>
  </r>
  <r>
    <s v="LN-00217"/>
    <s v="BRW-0179"/>
    <d v="2024-11-03T00:00:00"/>
    <s v="Debt Consolidation"/>
    <x v="170"/>
    <n v="24"/>
    <n v="7.97"/>
    <n v="632.99"/>
    <n v="31.5"/>
    <s v="Paid Off"/>
    <n v="0"/>
    <x v="0"/>
    <n v="26"/>
    <s v="OR"/>
    <s v="Associate"/>
    <s v="Retired"/>
    <x v="20"/>
    <n v="37566"/>
    <n v="794"/>
    <s v="Rent"/>
    <n v="2"/>
    <n v="352"/>
    <x v="3"/>
    <x v="2"/>
    <x v="2"/>
    <x v="1"/>
  </r>
  <r>
    <s v="LN-00218"/>
    <s v="BRW-0179"/>
    <d v="2024-06-13T00:00:00"/>
    <s v="Home Improvement"/>
    <x v="154"/>
    <n v="36"/>
    <n v="10.89"/>
    <n v="1111.3499999999999"/>
    <n v="46.7"/>
    <s v="Current"/>
    <n v="0"/>
    <x v="0"/>
    <n v="26"/>
    <s v="OR"/>
    <s v="Associate"/>
    <s v="Retired"/>
    <x v="20"/>
    <n v="37566"/>
    <n v="794"/>
    <s v="Rent"/>
    <n v="2"/>
    <n v="352"/>
    <x v="3"/>
    <x v="1"/>
    <x v="2"/>
    <x v="2"/>
  </r>
  <r>
    <s v="LN-00219"/>
    <s v="BRW-0180"/>
    <d v="2025-03-22T00:00:00"/>
    <s v="Business Loan"/>
    <x v="171"/>
    <n v="36"/>
    <n v="10.39"/>
    <n v="736.63"/>
    <n v="44.9"/>
    <s v="Late"/>
    <n v="15"/>
    <x v="0"/>
    <n v="42"/>
    <s v="LA"/>
    <s v="Bachelor"/>
    <s v="Full-Time"/>
    <x v="1"/>
    <n v="83990"/>
    <n v="716"/>
    <s v="Rent"/>
    <n v="2"/>
    <n v="2406"/>
    <x v="2"/>
    <x v="1"/>
    <x v="1"/>
    <x v="2"/>
  </r>
  <r>
    <s v="LN-00220"/>
    <s v="BRW-0181"/>
    <d v="2024-02-13T00:00:00"/>
    <s v="Debt Consolidation"/>
    <x v="172"/>
    <n v="60"/>
    <n v="11"/>
    <n v="478.33"/>
    <n v="64.7"/>
    <s v="Current"/>
    <n v="0"/>
    <x v="0"/>
    <n v="30"/>
    <s v="PA"/>
    <s v="Bachelor"/>
    <s v="Contract"/>
    <x v="5"/>
    <n v="44135"/>
    <n v="593"/>
    <s v="Own"/>
    <n v="0"/>
    <n v="1902"/>
    <x v="0"/>
    <x v="0"/>
    <x v="1"/>
    <x v="1"/>
  </r>
  <r>
    <s v="LN-00221"/>
    <s v="BRW-0182"/>
    <d v="2025-02-20T00:00:00"/>
    <s v="Home Improvement"/>
    <x v="173"/>
    <n v="12"/>
    <n v="15"/>
    <n v="902.58"/>
    <n v="61.8"/>
    <s v="Paid Off"/>
    <n v="0"/>
    <x v="0"/>
    <n v="36"/>
    <s v="MO"/>
    <s v="Associate"/>
    <s v="Retired"/>
    <x v="5"/>
    <n v="42447"/>
    <n v="570"/>
    <s v="Own"/>
    <n v="0"/>
    <n v="1282"/>
    <x v="0"/>
    <x v="0"/>
    <x v="2"/>
    <x v="2"/>
  </r>
  <r>
    <s v="LN-00222"/>
    <s v="BRW-0182"/>
    <d v="2025-05-27T00:00:00"/>
    <s v="Major Purchase"/>
    <x v="162"/>
    <n v="24"/>
    <n v="11.68"/>
    <n v="1726.81"/>
    <n v="85.1"/>
    <s v="Paid Off"/>
    <n v="0"/>
    <x v="0"/>
    <n v="36"/>
    <s v="MO"/>
    <s v="Associate"/>
    <s v="Retired"/>
    <x v="5"/>
    <n v="42447"/>
    <n v="570"/>
    <s v="Own"/>
    <n v="0"/>
    <n v="1282"/>
    <x v="0"/>
    <x v="3"/>
    <x v="2"/>
    <x v="1"/>
  </r>
  <r>
    <s v="LN-00223"/>
    <s v="BRW-0183"/>
    <d v="2024-11-16T00:00:00"/>
    <s v="Moving"/>
    <x v="174"/>
    <n v="24"/>
    <n v="9.2200000000000006"/>
    <n v="1263.69"/>
    <n v="64.8"/>
    <s v="Current"/>
    <n v="0"/>
    <x v="0"/>
    <n v="61"/>
    <s v="WI"/>
    <s v="Bachelor"/>
    <s v="Full-Time"/>
    <x v="11"/>
    <n v="51358"/>
    <n v="827"/>
    <s v="Own"/>
    <n v="2"/>
    <n v="1508"/>
    <x v="3"/>
    <x v="0"/>
    <x v="1"/>
    <x v="0"/>
  </r>
  <r>
    <s v="LN-00224"/>
    <s v="BRW-0183"/>
    <d v="2024-10-08T00:00:00"/>
    <s v="Business Loan"/>
    <x v="93"/>
    <n v="12"/>
    <n v="7.09"/>
    <n v="1082.0999999999999"/>
    <n v="60.5"/>
    <s v="Current"/>
    <n v="0"/>
    <x v="0"/>
    <n v="61"/>
    <s v="WI"/>
    <s v="Bachelor"/>
    <s v="Full-Time"/>
    <x v="11"/>
    <n v="51358"/>
    <n v="827"/>
    <s v="Own"/>
    <n v="2"/>
    <n v="1508"/>
    <x v="3"/>
    <x v="0"/>
    <x v="1"/>
    <x v="2"/>
  </r>
  <r>
    <s v="LN-00225"/>
    <s v="BRW-0184"/>
    <d v="2024-09-09T00:00:00"/>
    <s v="Education"/>
    <x v="175"/>
    <n v="60"/>
    <n v="7.95"/>
    <n v="101.26"/>
    <n v="40.700000000000003"/>
    <s v="Late"/>
    <n v="15"/>
    <x v="0"/>
    <n v="58"/>
    <s v="LA"/>
    <s v="High School"/>
    <s v="Contract"/>
    <x v="19"/>
    <n v="25259"/>
    <n v="850"/>
    <s v="Rent"/>
    <n v="2"/>
    <n v="755"/>
    <x v="3"/>
    <x v="1"/>
    <x v="1"/>
    <x v="2"/>
  </r>
  <r>
    <s v="LN-00226"/>
    <s v="BRW-0185"/>
    <d v="2024-02-25T00:00:00"/>
    <s v="Education"/>
    <x v="176"/>
    <n v="60"/>
    <n v="8.86"/>
    <n v="57.93"/>
    <n v="22"/>
    <s v="Current"/>
    <n v="0"/>
    <x v="0"/>
    <n v="23"/>
    <s v="KY"/>
    <s v="Bachelor"/>
    <s v="Part-Time"/>
    <x v="20"/>
    <n v="32494"/>
    <n v="679"/>
    <s v="Own"/>
    <n v="2"/>
    <n v="538"/>
    <x v="4"/>
    <x v="2"/>
    <x v="1"/>
    <x v="2"/>
  </r>
  <r>
    <s v="LN-00227"/>
    <s v="BRW-0186"/>
    <d v="2024-08-30T00:00:00"/>
    <s v="Auto Loan"/>
    <x v="177"/>
    <n v="12"/>
    <n v="9.81"/>
    <n v="3126.66"/>
    <n v="96.8"/>
    <s v="Paid Off"/>
    <n v="0"/>
    <x v="0"/>
    <n v="26"/>
    <s v="IL"/>
    <s v="Bachelor"/>
    <s v="Full-Time"/>
    <x v="18"/>
    <n v="67116"/>
    <n v="772"/>
    <s v="Mortgage"/>
    <n v="1"/>
    <n v="2288"/>
    <x v="3"/>
    <x v="3"/>
    <x v="1"/>
    <x v="1"/>
  </r>
  <r>
    <s v="LN-00228"/>
    <s v="BRW-0187"/>
    <d v="2024-06-13T00:00:00"/>
    <s v="Auto Loan"/>
    <x v="178"/>
    <n v="24"/>
    <n v="9.25"/>
    <n v="2148"/>
    <n v="34.9"/>
    <s v="Paid Off"/>
    <n v="0"/>
    <x v="0"/>
    <n v="68"/>
    <s v="NJ"/>
    <s v="Doctorate"/>
    <s v="Full-Time"/>
    <x v="30"/>
    <n v="108165"/>
    <n v="734"/>
    <s v="Mortgage"/>
    <n v="0"/>
    <n v="1002"/>
    <x v="2"/>
    <x v="2"/>
    <x v="1"/>
    <x v="1"/>
  </r>
  <r>
    <s v="LN-00229"/>
    <s v="BRW-0188"/>
    <d v="2025-05-18T00:00:00"/>
    <s v="Major Purchase"/>
    <x v="179"/>
    <n v="12"/>
    <n v="12.02"/>
    <n v="1350.64"/>
    <n v="88"/>
    <s v="Paid Off"/>
    <n v="0"/>
    <x v="0"/>
    <n v="50"/>
    <s v="GA"/>
    <s v="Associate"/>
    <s v="Full-Time"/>
    <x v="25"/>
    <n v="42807"/>
    <n v="726"/>
    <s v="Mortgage"/>
    <n v="4"/>
    <n v="1787"/>
    <x v="2"/>
    <x v="3"/>
    <x v="1"/>
    <x v="1"/>
  </r>
  <r>
    <s v="LN-00230"/>
    <s v="BRW-0189"/>
    <d v="2025-03-06T00:00:00"/>
    <s v="Home Improvement"/>
    <x v="149"/>
    <n v="60"/>
    <n v="10.07"/>
    <n v="755.49"/>
    <n v="33.200000000000003"/>
    <s v="Paid Off"/>
    <n v="0"/>
    <x v="0"/>
    <n v="42"/>
    <s v="MA"/>
    <s v="Master"/>
    <s v="Self-Employed"/>
    <x v="8"/>
    <n v="70887"/>
    <n v="616"/>
    <s v="Rent"/>
    <n v="1"/>
    <n v="1206"/>
    <x v="1"/>
    <x v="2"/>
    <x v="0"/>
    <x v="2"/>
  </r>
  <r>
    <s v="LN-00231"/>
    <s v="BRW-0190"/>
    <d v="2024-05-19T00:00:00"/>
    <s v="Debt Consolidation"/>
    <x v="168"/>
    <n v="24"/>
    <n v="12.35"/>
    <n v="1450.18"/>
    <n v="74.900000000000006"/>
    <s v="Default"/>
    <n v="81"/>
    <x v="1"/>
    <n v="23"/>
    <s v="TX"/>
    <s v="High School"/>
    <s v="Full-Time"/>
    <x v="18"/>
    <n v="38494"/>
    <n v="648"/>
    <s v="Mortgage"/>
    <n v="0"/>
    <n v="954"/>
    <x v="1"/>
    <x v="0"/>
    <x v="1"/>
    <x v="1"/>
  </r>
  <r>
    <s v="LN-00232"/>
    <s v="BRW-0191"/>
    <d v="2024-05-13T00:00:00"/>
    <s v="Education"/>
    <x v="124"/>
    <n v="24"/>
    <n v="12.83"/>
    <n v="299.01"/>
    <n v="51.9"/>
    <s v="Paid Off"/>
    <n v="0"/>
    <x v="0"/>
    <n v="63"/>
    <s v="NC"/>
    <s v="Bachelor"/>
    <s v="Full-Time"/>
    <x v="25"/>
    <n v="41121"/>
    <n v="585"/>
    <s v="Own"/>
    <n v="2"/>
    <n v="1480"/>
    <x v="0"/>
    <x v="0"/>
    <x v="1"/>
    <x v="2"/>
  </r>
  <r>
    <s v="LN-00233"/>
    <s v="BRW-0192"/>
    <d v="2024-12-01T00:00:00"/>
    <s v="Vacation"/>
    <x v="129"/>
    <n v="24"/>
    <n v="11.52"/>
    <n v="393.54"/>
    <n v="54.4"/>
    <s v="Current"/>
    <n v="0"/>
    <x v="0"/>
    <n v="45"/>
    <s v="WA"/>
    <s v="High School"/>
    <s v="Full-Time"/>
    <x v="13"/>
    <n v="42175"/>
    <n v="715"/>
    <s v="Mortgage"/>
    <n v="1"/>
    <n v="1519"/>
    <x v="2"/>
    <x v="0"/>
    <x v="1"/>
    <x v="0"/>
  </r>
  <r>
    <s v="LN-00234"/>
    <s v="BRW-0193"/>
    <d v="2024-01-24T00:00:00"/>
    <s v="Major Purchase"/>
    <x v="180"/>
    <n v="24"/>
    <n v="10.19"/>
    <n v="2052.73"/>
    <n v="74.7"/>
    <s v="Late"/>
    <n v="0"/>
    <x v="0"/>
    <n v="39"/>
    <s v="KY"/>
    <s v="Master"/>
    <s v="Part-Time"/>
    <x v="20"/>
    <n v="58864"/>
    <n v="595"/>
    <s v="Mortgage"/>
    <n v="4"/>
    <n v="1613"/>
    <x v="0"/>
    <x v="0"/>
    <x v="1"/>
    <x v="1"/>
  </r>
  <r>
    <s v="LN-00235"/>
    <s v="BRW-0194"/>
    <d v="2025-03-15T00:00:00"/>
    <s v="Vacation"/>
    <x v="84"/>
    <n v="24"/>
    <n v="6.98"/>
    <n v="1598.06"/>
    <n v="64.7"/>
    <s v="Paid Off"/>
    <n v="0"/>
    <x v="0"/>
    <n v="45"/>
    <s v="IL"/>
    <s v="Master"/>
    <s v="Full-Time"/>
    <x v="18"/>
    <n v="98282"/>
    <n v="796"/>
    <s v="Own"/>
    <n v="2"/>
    <n v="3701"/>
    <x v="3"/>
    <x v="0"/>
    <x v="1"/>
    <x v="0"/>
  </r>
  <r>
    <s v="LN-00236"/>
    <s v="BRW-0194"/>
    <d v="2025-04-09T00:00:00"/>
    <s v="Medical Expenses"/>
    <x v="181"/>
    <n v="60"/>
    <n v="8.91"/>
    <n v="157.43"/>
    <n v="47.1"/>
    <s v="Current"/>
    <n v="0"/>
    <x v="0"/>
    <n v="45"/>
    <s v="IL"/>
    <s v="Master"/>
    <s v="Full-Time"/>
    <x v="18"/>
    <n v="98282"/>
    <n v="796"/>
    <s v="Own"/>
    <n v="2"/>
    <n v="3701"/>
    <x v="3"/>
    <x v="1"/>
    <x v="1"/>
    <x v="0"/>
  </r>
  <r>
    <s v="LN-00237"/>
    <s v="BRW-0195"/>
    <d v="2024-07-30T00:00:00"/>
    <s v="Auto Loan"/>
    <x v="182"/>
    <n v="24"/>
    <n v="10.54"/>
    <n v="644.88"/>
    <n v="39.1"/>
    <s v="Late"/>
    <n v="30"/>
    <x v="0"/>
    <n v="55"/>
    <s v="WI"/>
    <s v="Bachelor"/>
    <s v="Part-Time"/>
    <x v="28"/>
    <n v="40418"/>
    <n v="697"/>
    <s v="Own"/>
    <n v="2"/>
    <n v="672"/>
    <x v="4"/>
    <x v="1"/>
    <x v="1"/>
    <x v="1"/>
  </r>
  <r>
    <s v="LN-00238"/>
    <s v="BRW-0196"/>
    <d v="2024-09-25T00:00:00"/>
    <s v="Major Purchase"/>
    <x v="183"/>
    <n v="12"/>
    <n v="7.73"/>
    <n v="2588.54"/>
    <n v="81.900000000000006"/>
    <s v="Current"/>
    <n v="0"/>
    <x v="0"/>
    <n v="43"/>
    <s v="CA"/>
    <s v="Bachelor"/>
    <s v="Full-Time"/>
    <x v="11"/>
    <n v="71852"/>
    <n v="823"/>
    <s v="Mortgage"/>
    <n v="1"/>
    <n v="2316"/>
    <x v="3"/>
    <x v="3"/>
    <x v="1"/>
    <x v="1"/>
  </r>
  <r>
    <s v="LN-00239"/>
    <s v="BRW-0197"/>
    <d v="2025-02-11T00:00:00"/>
    <s v="Vacation"/>
    <x v="18"/>
    <n v="36"/>
    <n v="10.71"/>
    <n v="570.53"/>
    <n v="52"/>
    <s v="Paid Off"/>
    <n v="0"/>
    <x v="0"/>
    <n v="48"/>
    <s v="NC"/>
    <s v="Bachelor"/>
    <s v="Self-Employed"/>
    <x v="10"/>
    <n v="86875"/>
    <n v="850"/>
    <s v="Mortgage"/>
    <n v="4"/>
    <n v="3195"/>
    <x v="3"/>
    <x v="0"/>
    <x v="0"/>
    <x v="0"/>
  </r>
  <r>
    <s v="LN-00240"/>
    <s v="BRW-0198"/>
    <d v="2024-08-28T00:00:00"/>
    <s v="Auto Loan"/>
    <x v="145"/>
    <n v="12"/>
    <n v="11.3"/>
    <n v="1566.83"/>
    <n v="48.2"/>
    <s v="Late"/>
    <n v="0"/>
    <x v="0"/>
    <n v="59"/>
    <s v="WI"/>
    <s v="Bachelor"/>
    <s v="Self-Employed"/>
    <x v="27"/>
    <n v="77828"/>
    <n v="622"/>
    <s v="Mortgage"/>
    <n v="2"/>
    <n v="1557"/>
    <x v="1"/>
    <x v="1"/>
    <x v="0"/>
    <x v="1"/>
  </r>
  <r>
    <s v="LN-00241"/>
    <s v="BRW-0199"/>
    <d v="2025-01-25T00:00:00"/>
    <s v="Wedding"/>
    <x v="184"/>
    <n v="12"/>
    <n v="10.9"/>
    <n v="2835.55"/>
    <n v="139.69999999999999"/>
    <s v="Default"/>
    <n v="131"/>
    <x v="1"/>
    <n v="65"/>
    <s v="AZ"/>
    <s v="Associate"/>
    <s v="Part-Time"/>
    <x v="18"/>
    <n v="33970"/>
    <n v="622"/>
    <s v="Mortgage"/>
    <n v="0"/>
    <n v="1118"/>
    <x v="1"/>
    <x v="3"/>
    <x v="1"/>
    <x v="0"/>
  </r>
  <r>
    <s v="LN-00242"/>
    <s v="BRW-0200"/>
    <d v="2024-06-22T00:00:00"/>
    <s v="Medical Expenses"/>
    <x v="41"/>
    <n v="60"/>
    <n v="11.63"/>
    <n v="637.47"/>
    <n v="74.599999999999994"/>
    <s v="Default"/>
    <n v="116"/>
    <x v="1"/>
    <n v="48"/>
    <s v="OH"/>
    <s v="Bachelor"/>
    <s v="Part-Time"/>
    <x v="2"/>
    <n v="38878"/>
    <n v="556"/>
    <s v="Own"/>
    <n v="2"/>
    <n v="1778"/>
    <x v="0"/>
    <x v="0"/>
    <x v="1"/>
    <x v="0"/>
  </r>
  <r>
    <s v="LN-00243"/>
    <s v="BRW-0201"/>
    <d v="2024-04-29T00:00:00"/>
    <s v="Medical Expenses"/>
    <x v="83"/>
    <n v="48"/>
    <n v="7.34"/>
    <n v="373.62"/>
    <n v="49.7"/>
    <s v="Late"/>
    <n v="30"/>
    <x v="0"/>
    <n v="52"/>
    <s v="MN"/>
    <s v="Bachelor"/>
    <s v="Full-Time"/>
    <x v="32"/>
    <n v="51649"/>
    <n v="802"/>
    <s v="Mortgage"/>
    <n v="2"/>
    <n v="1766"/>
    <x v="3"/>
    <x v="1"/>
    <x v="1"/>
    <x v="0"/>
  </r>
  <r>
    <s v="LN-00244"/>
    <s v="BRW-0201"/>
    <d v="2024-09-26T00:00:00"/>
    <s v="Auto Loan"/>
    <x v="36"/>
    <n v="36"/>
    <n v="11.15"/>
    <n v="1525.66"/>
    <n v="76.5"/>
    <s v="Current"/>
    <n v="0"/>
    <x v="0"/>
    <n v="52"/>
    <s v="MN"/>
    <s v="Bachelor"/>
    <s v="Full-Time"/>
    <x v="32"/>
    <n v="51649"/>
    <n v="802"/>
    <s v="Mortgage"/>
    <n v="2"/>
    <n v="1766"/>
    <x v="3"/>
    <x v="3"/>
    <x v="1"/>
    <x v="1"/>
  </r>
  <r>
    <s v="LN-00245"/>
    <s v="BRW-0202"/>
    <d v="2025-03-26T00:00:00"/>
    <s v="Medical Expenses"/>
    <x v="185"/>
    <n v="24"/>
    <n v="11.68"/>
    <n v="2332.13"/>
    <n v="83.2"/>
    <s v="Default"/>
    <n v="68"/>
    <x v="1"/>
    <n v="63"/>
    <s v="GA"/>
    <s v="Master"/>
    <s v="Full-Time"/>
    <x v="13"/>
    <n v="96142"/>
    <n v="666"/>
    <s v="Mortgage"/>
    <n v="3"/>
    <n v="4335"/>
    <x v="4"/>
    <x v="3"/>
    <x v="1"/>
    <x v="0"/>
  </r>
  <r>
    <s v="LN-00246"/>
    <s v="BRW-0203"/>
    <d v="2025-05-21T00:00:00"/>
    <s v="Medical Expenses"/>
    <x v="186"/>
    <n v="48"/>
    <n v="9.1"/>
    <n v="251.82"/>
    <n v="21.8"/>
    <s v="Default"/>
    <n v="121"/>
    <x v="1"/>
    <n v="40"/>
    <s v="UT"/>
    <s v="Master"/>
    <s v="Self-Employed"/>
    <x v="21"/>
    <n v="96556"/>
    <n v="785"/>
    <s v="Mortgage"/>
    <n v="2"/>
    <n v="1502"/>
    <x v="3"/>
    <x v="2"/>
    <x v="0"/>
    <x v="0"/>
  </r>
  <r>
    <s v="LN-00247"/>
    <s v="BRW-0204"/>
    <d v="2024-04-05T00:00:00"/>
    <s v="Moving"/>
    <x v="187"/>
    <n v="24"/>
    <n v="8.25"/>
    <n v="1165.27"/>
    <n v="21.4"/>
    <s v="Paid Off"/>
    <n v="0"/>
    <x v="0"/>
    <n v="29"/>
    <s v="KY"/>
    <s v="Bachelor"/>
    <s v="Full-Time"/>
    <x v="6"/>
    <n v="97749"/>
    <n v="742"/>
    <s v="Rent"/>
    <n v="0"/>
    <n v="578"/>
    <x v="2"/>
    <x v="2"/>
    <x v="1"/>
    <x v="0"/>
  </r>
  <r>
    <s v="LN-00248"/>
    <s v="BRW-0204"/>
    <d v="2024-01-05T00:00:00"/>
    <s v="Moving"/>
    <x v="63"/>
    <n v="60"/>
    <n v="8.6999999999999993"/>
    <n v="597.78"/>
    <n v="14.4"/>
    <s v="Current"/>
    <n v="0"/>
    <x v="0"/>
    <n v="29"/>
    <s v="KY"/>
    <s v="Bachelor"/>
    <s v="Full-Time"/>
    <x v="6"/>
    <n v="97749"/>
    <n v="742"/>
    <s v="Rent"/>
    <n v="0"/>
    <n v="578"/>
    <x v="2"/>
    <x v="2"/>
    <x v="1"/>
    <x v="0"/>
  </r>
  <r>
    <s v="LN-00249"/>
    <s v="BRW-0205"/>
    <d v="2024-05-04T00:00:00"/>
    <s v="Vacation"/>
    <x v="82"/>
    <n v="12"/>
    <n v="8.59"/>
    <n v="2373.5100000000002"/>
    <n v="137.4"/>
    <s v="Paid Off"/>
    <n v="0"/>
    <x v="0"/>
    <n v="67"/>
    <s v="MO"/>
    <s v="High School"/>
    <s v="Retired"/>
    <x v="14"/>
    <n v="27294"/>
    <n v="770"/>
    <s v="Own"/>
    <n v="0"/>
    <n v="752"/>
    <x v="3"/>
    <x v="3"/>
    <x v="2"/>
    <x v="0"/>
  </r>
  <r>
    <s v="LN-00250"/>
    <s v="BRW-0206"/>
    <d v="2024-10-02T00:00:00"/>
    <s v="Medical Expenses"/>
    <x v="71"/>
    <n v="48"/>
    <n v="11.45"/>
    <n v="122.5"/>
    <n v="22.8"/>
    <s v="Paid Off"/>
    <n v="0"/>
    <x v="0"/>
    <n v="39"/>
    <s v="IN"/>
    <s v="High School"/>
    <s v="Part-Time"/>
    <x v="18"/>
    <n v="23680"/>
    <n v="649"/>
    <s v="Rent"/>
    <n v="0"/>
    <n v="328"/>
    <x v="1"/>
    <x v="2"/>
    <x v="1"/>
    <x v="0"/>
  </r>
  <r>
    <s v="LN-00251"/>
    <s v="BRW-0206"/>
    <d v="2024-02-19T00:00:00"/>
    <s v="Wedding"/>
    <x v="30"/>
    <n v="60"/>
    <n v="9.83"/>
    <n v="262.43"/>
    <n v="29.9"/>
    <s v="Paid Off"/>
    <n v="0"/>
    <x v="0"/>
    <n v="39"/>
    <s v="IN"/>
    <s v="High School"/>
    <s v="Part-Time"/>
    <x v="18"/>
    <n v="23680"/>
    <n v="649"/>
    <s v="Rent"/>
    <n v="0"/>
    <n v="328"/>
    <x v="1"/>
    <x v="2"/>
    <x v="1"/>
    <x v="0"/>
  </r>
  <r>
    <s v="LN-00252"/>
    <s v="BRW-0207"/>
    <d v="2024-09-02T00:00:00"/>
    <s v="Moving"/>
    <x v="188"/>
    <n v="48"/>
    <n v="11.28"/>
    <n v="527.42999999999995"/>
    <n v="51.1"/>
    <s v="Late"/>
    <n v="15"/>
    <x v="0"/>
    <n v="28"/>
    <s v="UT"/>
    <s v="Bachelor"/>
    <s v="Self-Employed"/>
    <x v="10"/>
    <n v="47014"/>
    <n v="600"/>
    <s v="Rent"/>
    <n v="0"/>
    <n v="1474"/>
    <x v="1"/>
    <x v="0"/>
    <x v="0"/>
    <x v="0"/>
  </r>
  <r>
    <s v="LN-00253"/>
    <s v="BRW-0208"/>
    <d v="2025-05-17T00:00:00"/>
    <s v="Medical Expenses"/>
    <x v="189"/>
    <n v="24"/>
    <n v="8.7899999999999991"/>
    <n v="971.03"/>
    <n v="49"/>
    <s v="Paid Off"/>
    <n v="0"/>
    <x v="0"/>
    <n v="52"/>
    <s v="UT"/>
    <s v="Bachelor"/>
    <s v="Full-Time"/>
    <x v="4"/>
    <n v="102097"/>
    <n v="709"/>
    <s v="Mortgage"/>
    <n v="2"/>
    <n v="3200"/>
    <x v="2"/>
    <x v="1"/>
    <x v="1"/>
    <x v="0"/>
  </r>
  <r>
    <s v="LN-00254"/>
    <s v="BRW-0208"/>
    <d v="2025-05-16T00:00:00"/>
    <s v="Wedding"/>
    <x v="81"/>
    <n v="36"/>
    <n v="10.75"/>
    <n v="1037.33"/>
    <n v="49.8"/>
    <s v="Current"/>
    <n v="0"/>
    <x v="0"/>
    <n v="52"/>
    <s v="UT"/>
    <s v="Bachelor"/>
    <s v="Full-Time"/>
    <x v="4"/>
    <n v="102097"/>
    <n v="709"/>
    <s v="Mortgage"/>
    <n v="2"/>
    <n v="3200"/>
    <x v="2"/>
    <x v="1"/>
    <x v="1"/>
    <x v="0"/>
  </r>
  <r>
    <s v="LN-00255"/>
    <s v="BRW-0209"/>
    <d v="2025-03-12T00:00:00"/>
    <s v="Home Improvement"/>
    <x v="190"/>
    <n v="60"/>
    <n v="10.37"/>
    <n v="876.47"/>
    <n v="17.3"/>
    <s v="Default"/>
    <n v="161"/>
    <x v="1"/>
    <n v="36"/>
    <s v="PA"/>
    <s v="Bachelor"/>
    <s v="Self-Employed"/>
    <x v="14"/>
    <n v="100359"/>
    <n v="634"/>
    <s v="Rent"/>
    <n v="3"/>
    <n v="570"/>
    <x v="1"/>
    <x v="2"/>
    <x v="0"/>
    <x v="2"/>
  </r>
  <r>
    <s v="LN-00256"/>
    <s v="BRW-0210"/>
    <d v="2025-06-23T00:00:00"/>
    <s v="Vacation"/>
    <x v="191"/>
    <n v="24"/>
    <n v="13.1"/>
    <n v="1575.19"/>
    <n v="67.3"/>
    <s v="Current"/>
    <n v="0"/>
    <x v="0"/>
    <n v="47"/>
    <s v="MD"/>
    <s v="Master"/>
    <s v="Full-Time"/>
    <x v="18"/>
    <n v="118864"/>
    <n v="693"/>
    <s v="Own"/>
    <n v="2"/>
    <n v="5093"/>
    <x v="4"/>
    <x v="0"/>
    <x v="1"/>
    <x v="0"/>
  </r>
  <r>
    <s v="LN-00257"/>
    <s v="BRW-0211"/>
    <d v="2025-06-19T00:00:00"/>
    <s v="Vacation"/>
    <x v="189"/>
    <n v="36"/>
    <n v="11.26"/>
    <n v="699.96"/>
    <n v="71.099999999999994"/>
    <s v="Current"/>
    <n v="0"/>
    <x v="0"/>
    <n v="43"/>
    <s v="MA"/>
    <s v="Associate"/>
    <s v="Retired"/>
    <x v="1"/>
    <n v="32700"/>
    <n v="777"/>
    <s v="Rent"/>
    <n v="0"/>
    <n v="1238"/>
    <x v="3"/>
    <x v="0"/>
    <x v="2"/>
    <x v="0"/>
  </r>
  <r>
    <s v="LN-00258"/>
    <s v="BRW-0212"/>
    <d v="2024-09-16T00:00:00"/>
    <s v="Moving"/>
    <x v="192"/>
    <n v="12"/>
    <n v="11.99"/>
    <n v="613.02"/>
    <n v="62.1"/>
    <s v="Default"/>
    <n v="179"/>
    <x v="1"/>
    <n v="43"/>
    <s v="KY"/>
    <s v="High School"/>
    <s v="Full-Time"/>
    <x v="10"/>
    <n v="31455"/>
    <n v="620"/>
    <s v="Rent"/>
    <n v="0"/>
    <n v="1014"/>
    <x v="1"/>
    <x v="0"/>
    <x v="1"/>
    <x v="0"/>
  </r>
  <r>
    <s v="LN-00259"/>
    <s v="BRW-0212"/>
    <d v="2024-07-05T00:00:00"/>
    <s v="Home Improvement"/>
    <x v="142"/>
    <n v="48"/>
    <n v="10.56"/>
    <n v="66.64"/>
    <n v="41.2"/>
    <s v="Current"/>
    <n v="0"/>
    <x v="0"/>
    <n v="43"/>
    <s v="KY"/>
    <s v="High School"/>
    <s v="Full-Time"/>
    <x v="10"/>
    <n v="31455"/>
    <n v="620"/>
    <s v="Rent"/>
    <n v="0"/>
    <n v="1014"/>
    <x v="1"/>
    <x v="1"/>
    <x v="1"/>
    <x v="2"/>
  </r>
  <r>
    <s v="LN-00260"/>
    <s v="BRW-0213"/>
    <d v="2024-09-28T00:00:00"/>
    <s v="Education"/>
    <x v="193"/>
    <n v="48"/>
    <n v="10.65"/>
    <n v="611.09"/>
    <n v="27.8"/>
    <s v="Late"/>
    <n v="15"/>
    <x v="0"/>
    <n v="34"/>
    <s v="WA"/>
    <s v="High School"/>
    <s v="Contract"/>
    <x v="5"/>
    <n v="53975"/>
    <n v="748"/>
    <s v="Mortgage"/>
    <n v="2"/>
    <n v="640"/>
    <x v="2"/>
    <x v="2"/>
    <x v="1"/>
    <x v="2"/>
  </r>
  <r>
    <s v="LN-00261"/>
    <s v="BRW-0214"/>
    <d v="2024-01-19T00:00:00"/>
    <s v="Home Improvement"/>
    <x v="194"/>
    <n v="12"/>
    <n v="10.15"/>
    <n v="1636.53"/>
    <n v="99.8"/>
    <s v="Default"/>
    <n v="59"/>
    <x v="1"/>
    <n v="30"/>
    <s v="NC"/>
    <s v="Bachelor"/>
    <s v="Retired"/>
    <x v="20"/>
    <n v="24621"/>
    <n v="721"/>
    <s v="Mortgage"/>
    <n v="4"/>
    <n v="412"/>
    <x v="2"/>
    <x v="3"/>
    <x v="2"/>
    <x v="2"/>
  </r>
  <r>
    <s v="LN-00262"/>
    <s v="BRW-0215"/>
    <d v="2024-11-06T00:00:00"/>
    <s v="Vacation"/>
    <x v="157"/>
    <n v="60"/>
    <n v="12.71"/>
    <n v="483.74"/>
    <n v="34.4"/>
    <s v="Late"/>
    <n v="30"/>
    <x v="0"/>
    <n v="68"/>
    <s v="MA"/>
    <s v="Bachelor"/>
    <s v="Full-Time"/>
    <x v="20"/>
    <n v="63539"/>
    <n v="655"/>
    <s v="Rent"/>
    <n v="1"/>
    <n v="1338"/>
    <x v="4"/>
    <x v="2"/>
    <x v="1"/>
    <x v="0"/>
  </r>
  <r>
    <s v="LN-00263"/>
    <s v="BRW-0216"/>
    <d v="2024-04-24T00:00:00"/>
    <s v="Major Purchase"/>
    <x v="195"/>
    <n v="24"/>
    <n v="9.9"/>
    <n v="285.81"/>
    <n v="14.5"/>
    <s v="Current"/>
    <n v="0"/>
    <x v="0"/>
    <n v="54"/>
    <s v="GA"/>
    <s v="Master"/>
    <s v="Contract"/>
    <x v="4"/>
    <n v="120652"/>
    <n v="610"/>
    <s v="Mortgage"/>
    <n v="0"/>
    <n v="1174"/>
    <x v="1"/>
    <x v="2"/>
    <x v="1"/>
    <x v="1"/>
  </r>
  <r>
    <s v="LN-00264"/>
    <s v="BRW-0217"/>
    <d v="2024-07-14T00:00:00"/>
    <s v="Vacation"/>
    <x v="196"/>
    <n v="48"/>
    <n v="10.78"/>
    <n v="715.54"/>
    <n v="38.1"/>
    <s v="Current"/>
    <n v="0"/>
    <x v="0"/>
    <n v="31"/>
    <s v="KY"/>
    <s v="Bachelor"/>
    <s v="Retired"/>
    <x v="23"/>
    <n v="38662"/>
    <n v="806"/>
    <s v="Rent"/>
    <n v="2"/>
    <n v="512"/>
    <x v="3"/>
    <x v="1"/>
    <x v="2"/>
    <x v="0"/>
  </r>
  <r>
    <s v="LN-00265"/>
    <s v="BRW-0218"/>
    <d v="2025-04-27T00:00:00"/>
    <s v="Home Improvement"/>
    <x v="34"/>
    <n v="48"/>
    <n v="11.5"/>
    <n v="143.49"/>
    <n v="36.6"/>
    <s v="Default"/>
    <n v="145"/>
    <x v="1"/>
    <n v="37"/>
    <s v="VA"/>
    <s v="Bachelor"/>
    <s v="Part-Time"/>
    <x v="7"/>
    <n v="49958"/>
    <n v="799"/>
    <s v="Mortgage"/>
    <n v="0"/>
    <n v="1382"/>
    <x v="3"/>
    <x v="1"/>
    <x v="1"/>
    <x v="2"/>
  </r>
  <r>
    <s v="LN-00266"/>
    <s v="BRW-0219"/>
    <d v="2024-01-09T00:00:00"/>
    <s v="Business Loan"/>
    <x v="197"/>
    <n v="48"/>
    <n v="6.77"/>
    <n v="939.28"/>
    <n v="26.5"/>
    <s v="Default"/>
    <n v="140"/>
    <x v="1"/>
    <n v="25"/>
    <s v="OK"/>
    <s v="Master"/>
    <s v="Contract"/>
    <x v="18"/>
    <n v="71945"/>
    <n v="809"/>
    <s v="Own"/>
    <n v="1"/>
    <n v="648"/>
    <x v="3"/>
    <x v="2"/>
    <x v="1"/>
    <x v="2"/>
  </r>
  <r>
    <s v="LN-00267"/>
    <s v="BRW-0220"/>
    <d v="2024-02-07T00:00:00"/>
    <s v="Vacation"/>
    <x v="198"/>
    <n v="60"/>
    <n v="12.03"/>
    <n v="681.14"/>
    <n v="39.4"/>
    <s v="Current"/>
    <n v="0"/>
    <x v="0"/>
    <n v="35"/>
    <s v="IN"/>
    <s v="Master"/>
    <s v="Full-Time"/>
    <x v="18"/>
    <n v="131724"/>
    <n v="778"/>
    <s v="Mortgage"/>
    <n v="1"/>
    <n v="3643"/>
    <x v="3"/>
    <x v="1"/>
    <x v="1"/>
    <x v="0"/>
  </r>
  <r>
    <s v="LN-00268"/>
    <s v="BRW-0220"/>
    <d v="2024-03-03T00:00:00"/>
    <s v="Wedding"/>
    <x v="87"/>
    <n v="48"/>
    <n v="8.19"/>
    <n v="1112.4000000000001"/>
    <n v="43.3"/>
    <s v="Current"/>
    <n v="0"/>
    <x v="0"/>
    <n v="35"/>
    <s v="IN"/>
    <s v="Master"/>
    <s v="Full-Time"/>
    <x v="18"/>
    <n v="131724"/>
    <n v="778"/>
    <s v="Mortgage"/>
    <n v="1"/>
    <n v="3643"/>
    <x v="3"/>
    <x v="1"/>
    <x v="1"/>
    <x v="0"/>
  </r>
  <r>
    <s v="LN-00269"/>
    <s v="BRW-0221"/>
    <d v="2024-12-21T00:00:00"/>
    <s v="Major Purchase"/>
    <x v="181"/>
    <n v="60"/>
    <n v="12.33"/>
    <n v="170.33"/>
    <n v="11"/>
    <s v="Current"/>
    <n v="0"/>
    <x v="0"/>
    <n v="57"/>
    <s v="AL"/>
    <s v="Bachelor"/>
    <s v="Contract"/>
    <x v="19"/>
    <n v="86745"/>
    <n v="742"/>
    <s v="Rent"/>
    <n v="0"/>
    <n v="625"/>
    <x v="2"/>
    <x v="2"/>
    <x v="1"/>
    <x v="1"/>
  </r>
  <r>
    <s v="LN-00270"/>
    <s v="BRW-0222"/>
    <d v="2024-12-13T00:00:00"/>
    <s v="Vacation"/>
    <x v="199"/>
    <n v="24"/>
    <n v="13.44"/>
    <n v="625.51"/>
    <n v="53.4"/>
    <s v="Late"/>
    <n v="15"/>
    <x v="0"/>
    <n v="49"/>
    <s v="MI"/>
    <s v="Associate"/>
    <s v="Full-Time"/>
    <x v="29"/>
    <n v="75328"/>
    <n v="570"/>
    <s v="Mortgage"/>
    <n v="1"/>
    <n v="2727"/>
    <x v="0"/>
    <x v="0"/>
    <x v="1"/>
    <x v="0"/>
  </r>
  <r>
    <s v="LN-00271"/>
    <s v="BRW-0223"/>
    <d v="2025-01-03T00:00:00"/>
    <s v="Auto Loan"/>
    <x v="200"/>
    <n v="48"/>
    <n v="12"/>
    <n v="545.11"/>
    <n v="19.8"/>
    <s v="Paid Off"/>
    <n v="0"/>
    <x v="0"/>
    <n v="63"/>
    <s v="UT"/>
    <s v="Doctorate"/>
    <s v="Part-Time"/>
    <x v="12"/>
    <n v="60734"/>
    <n v="730"/>
    <s v="Rent"/>
    <n v="1"/>
    <n v="456"/>
    <x v="2"/>
    <x v="2"/>
    <x v="1"/>
    <x v="1"/>
  </r>
  <r>
    <s v="LN-00272"/>
    <s v="BRW-0224"/>
    <d v="2024-07-23T00:00:00"/>
    <s v="Auto Loan"/>
    <x v="201"/>
    <n v="48"/>
    <n v="10.48"/>
    <n v="156.12"/>
    <n v="42.8"/>
    <s v="Default"/>
    <n v="155"/>
    <x v="1"/>
    <n v="64"/>
    <s v="WA"/>
    <s v="Master"/>
    <s v="Full-Time"/>
    <x v="21"/>
    <n v="128412"/>
    <n v="610"/>
    <s v="Rent"/>
    <n v="1"/>
    <n v="4429"/>
    <x v="1"/>
    <x v="1"/>
    <x v="1"/>
    <x v="1"/>
  </r>
  <r>
    <s v="LN-00273"/>
    <s v="BRW-0225"/>
    <d v="2024-02-18T00:00:00"/>
    <s v="Major Purchase"/>
    <x v="187"/>
    <n v="24"/>
    <n v="7.93"/>
    <n v="1161.52"/>
    <n v="38.1"/>
    <s v="Current"/>
    <n v="0"/>
    <x v="0"/>
    <n v="36"/>
    <s v="OR"/>
    <s v="Master"/>
    <s v="Self-Employed"/>
    <x v="14"/>
    <n v="138554"/>
    <n v="787"/>
    <s v="Mortgage"/>
    <n v="0"/>
    <n v="3236"/>
    <x v="3"/>
    <x v="1"/>
    <x v="0"/>
    <x v="1"/>
  </r>
  <r>
    <s v="LN-00274"/>
    <s v="BRW-0226"/>
    <d v="2024-12-11T00:00:00"/>
    <s v="Medical Expenses"/>
    <x v="202"/>
    <n v="12"/>
    <n v="14.33"/>
    <n v="3948.47"/>
    <n v="177.4"/>
    <s v="Default"/>
    <n v="88"/>
    <x v="1"/>
    <n v="31"/>
    <s v="AZ"/>
    <s v="Associate"/>
    <s v="Retired"/>
    <x v="10"/>
    <n v="37737"/>
    <n v="582"/>
    <s v="Rent"/>
    <n v="2"/>
    <n v="1629"/>
    <x v="0"/>
    <x v="3"/>
    <x v="2"/>
    <x v="0"/>
  </r>
  <r>
    <s v="LN-00275"/>
    <s v="BRW-0227"/>
    <d v="2024-09-30T00:00:00"/>
    <s v="Business Loan"/>
    <x v="185"/>
    <n v="36"/>
    <n v="11.21"/>
    <n v="1632.06"/>
    <n v="51.2"/>
    <s v="Late"/>
    <n v="15"/>
    <x v="0"/>
    <n v="23"/>
    <s v="TX"/>
    <s v="Associate"/>
    <s v="Full-Time"/>
    <x v="10"/>
    <n v="56840"/>
    <n v="758"/>
    <s v="Own"/>
    <n v="1"/>
    <n v="791"/>
    <x v="3"/>
    <x v="0"/>
    <x v="1"/>
    <x v="2"/>
  </r>
  <r>
    <s v="LN-00276"/>
    <s v="BRW-0228"/>
    <d v="2024-04-23T00:00:00"/>
    <s v="Home Improvement"/>
    <x v="36"/>
    <n v="48"/>
    <n v="12.61"/>
    <n v="1238.5"/>
    <n v="56.2"/>
    <s v="Late"/>
    <n v="0"/>
    <x v="0"/>
    <n v="35"/>
    <s v="AL"/>
    <s v="Master"/>
    <s v="Self-Employed"/>
    <x v="23"/>
    <n v="66623"/>
    <n v="683"/>
    <s v="Rent"/>
    <n v="2"/>
    <n v="1880"/>
    <x v="4"/>
    <x v="0"/>
    <x v="0"/>
    <x v="2"/>
  </r>
  <r>
    <s v="LN-00277"/>
    <s v="BRW-0229"/>
    <d v="2024-04-30T00:00:00"/>
    <s v="Home Improvement"/>
    <x v="52"/>
    <n v="12"/>
    <n v="7.24"/>
    <n v="346.55"/>
    <n v="55.6"/>
    <s v="Late"/>
    <n v="15"/>
    <x v="0"/>
    <n v="65"/>
    <s v="NC"/>
    <s v="Master"/>
    <s v="Full-Time"/>
    <x v="7"/>
    <n v="129782"/>
    <n v="816"/>
    <s v="Mortgage"/>
    <n v="0"/>
    <n v="5669"/>
    <x v="3"/>
    <x v="0"/>
    <x v="1"/>
    <x v="2"/>
  </r>
  <r>
    <s v="LN-00278"/>
    <s v="BRW-0229"/>
    <d v="2024-04-11T00:00:00"/>
    <s v="Auto Loan"/>
    <x v="115"/>
    <n v="48"/>
    <n v="10.06"/>
    <n v="980.11"/>
    <n v="61.5"/>
    <s v="Default"/>
    <n v="123"/>
    <x v="1"/>
    <n v="65"/>
    <s v="NC"/>
    <s v="Master"/>
    <s v="Full-Time"/>
    <x v="7"/>
    <n v="129782"/>
    <n v="816"/>
    <s v="Mortgage"/>
    <n v="0"/>
    <n v="5669"/>
    <x v="3"/>
    <x v="0"/>
    <x v="1"/>
    <x v="1"/>
  </r>
  <r>
    <s v="LN-00279"/>
    <s v="BRW-0230"/>
    <d v="2024-01-07T00:00:00"/>
    <s v="Medical Expenses"/>
    <x v="203"/>
    <n v="48"/>
    <n v="12"/>
    <n v="213.3"/>
    <n v="43.4"/>
    <s v="Current"/>
    <n v="0"/>
    <x v="0"/>
    <n v="33"/>
    <s v="KY"/>
    <s v="Bachelor"/>
    <s v="Full-Time"/>
    <x v="16"/>
    <n v="72220"/>
    <n v="711"/>
    <s v="Rent"/>
    <n v="1"/>
    <n v="2396"/>
    <x v="2"/>
    <x v="1"/>
    <x v="1"/>
    <x v="0"/>
  </r>
  <r>
    <s v="LN-00280"/>
    <s v="BRW-0231"/>
    <d v="2024-09-08T00:00:00"/>
    <s v="Home Improvement"/>
    <x v="204"/>
    <n v="48"/>
    <n v="8.94"/>
    <n v="554.29999999999995"/>
    <n v="25.8"/>
    <s v="Current"/>
    <n v="0"/>
    <x v="0"/>
    <n v="48"/>
    <s v="MI"/>
    <s v="High School"/>
    <s v="Full-Time"/>
    <x v="23"/>
    <n v="48955"/>
    <n v="772"/>
    <s v="Rent"/>
    <n v="3"/>
    <n v="498"/>
    <x v="3"/>
    <x v="2"/>
    <x v="1"/>
    <x v="2"/>
  </r>
  <r>
    <s v="LN-00281"/>
    <s v="BRW-0232"/>
    <d v="2025-06-12T00:00:00"/>
    <s v="Major Purchase"/>
    <x v="205"/>
    <n v="48"/>
    <n v="11.09"/>
    <n v="559.21"/>
    <n v="46.2"/>
    <s v="Current"/>
    <n v="0"/>
    <x v="0"/>
    <n v="51"/>
    <s v="NC"/>
    <s v="Master"/>
    <s v="Part-Time"/>
    <x v="5"/>
    <n v="75699"/>
    <n v="820"/>
    <s v="Mortgage"/>
    <n v="0"/>
    <n v="2355"/>
    <x v="3"/>
    <x v="1"/>
    <x v="1"/>
    <x v="1"/>
  </r>
  <r>
    <s v="LN-00282"/>
    <s v="BRW-0233"/>
    <d v="2024-11-18T00:00:00"/>
    <s v="Debt Consolidation"/>
    <x v="206"/>
    <n v="12"/>
    <n v="9.7200000000000006"/>
    <n v="2352.66"/>
    <n v="31.1"/>
    <s v="Current"/>
    <n v="0"/>
    <x v="0"/>
    <n v="50"/>
    <s v="MN"/>
    <s v="Master"/>
    <s v="Full-Time"/>
    <x v="18"/>
    <n v="116769"/>
    <n v="642"/>
    <s v="Mortgage"/>
    <n v="2"/>
    <n v="678"/>
    <x v="1"/>
    <x v="2"/>
    <x v="1"/>
    <x v="1"/>
  </r>
  <r>
    <s v="LN-00283"/>
    <s v="BRW-0234"/>
    <d v="2025-06-16T00:00:00"/>
    <s v="Debt Consolidation"/>
    <x v="207"/>
    <n v="60"/>
    <n v="6.69"/>
    <n v="644.69000000000005"/>
    <n v="36.299999999999997"/>
    <s v="Paid Off"/>
    <n v="0"/>
    <x v="0"/>
    <n v="26"/>
    <s v="OK"/>
    <s v="High School"/>
    <s v="Self-Employed"/>
    <x v="18"/>
    <n v="47895"/>
    <n v="816"/>
    <s v="Mortgage"/>
    <n v="3"/>
    <n v="804"/>
    <x v="3"/>
    <x v="1"/>
    <x v="0"/>
    <x v="1"/>
  </r>
  <r>
    <s v="LN-00284"/>
    <s v="BRW-0235"/>
    <d v="2024-10-13T00:00:00"/>
    <s v="Auto Loan"/>
    <x v="208"/>
    <n v="36"/>
    <n v="7.04"/>
    <n v="528.30999999999995"/>
    <n v="60.7"/>
    <s v="Current"/>
    <n v="0"/>
    <x v="0"/>
    <n v="22"/>
    <s v="SC"/>
    <s v="Associate"/>
    <s v="Full-Time"/>
    <x v="10"/>
    <n v="63656"/>
    <n v="780"/>
    <s v="Rent"/>
    <n v="0"/>
    <n v="2692"/>
    <x v="3"/>
    <x v="0"/>
    <x v="1"/>
    <x v="1"/>
  </r>
  <r>
    <s v="LN-00285"/>
    <s v="BRW-0236"/>
    <d v="2024-12-19T00:00:00"/>
    <s v="Business Loan"/>
    <x v="209"/>
    <n v="60"/>
    <n v="11.38"/>
    <n v="701.84"/>
    <n v="44.8"/>
    <s v="Current"/>
    <n v="0"/>
    <x v="0"/>
    <n v="57"/>
    <s v="IN"/>
    <s v="Associate"/>
    <s v="Full-Time"/>
    <x v="3"/>
    <n v="50940"/>
    <n v="713"/>
    <s v="Mortgage"/>
    <n v="3"/>
    <n v="1201"/>
    <x v="2"/>
    <x v="1"/>
    <x v="1"/>
    <x v="2"/>
  </r>
  <r>
    <s v="LN-00286"/>
    <s v="BRW-0237"/>
    <d v="2024-05-09T00:00:00"/>
    <s v="Auto Loan"/>
    <x v="204"/>
    <n v="48"/>
    <n v="11.48"/>
    <n v="581.57000000000005"/>
    <n v="49.1"/>
    <s v="Current"/>
    <n v="0"/>
    <x v="0"/>
    <n v="68"/>
    <s v="MD"/>
    <s v="Bachelor"/>
    <s v="Contract"/>
    <x v="28"/>
    <n v="98934"/>
    <n v="729"/>
    <s v="Mortgage"/>
    <n v="3"/>
    <n v="3467"/>
    <x v="2"/>
    <x v="1"/>
    <x v="1"/>
    <x v="1"/>
  </r>
  <r>
    <s v="LN-00287"/>
    <s v="BRW-0238"/>
    <d v="2024-09-21T00:00:00"/>
    <s v="Auto Loan"/>
    <x v="210"/>
    <n v="24"/>
    <n v="7.82"/>
    <n v="1088"/>
    <n v="72.2"/>
    <s v="Paid Off"/>
    <n v="0"/>
    <x v="0"/>
    <n v="23"/>
    <s v="NJ"/>
    <s v="Associate"/>
    <s v="Retired"/>
    <x v="9"/>
    <n v="33693"/>
    <n v="738"/>
    <s v="Own"/>
    <n v="0"/>
    <n v="940"/>
    <x v="2"/>
    <x v="0"/>
    <x v="2"/>
    <x v="1"/>
  </r>
  <r>
    <s v="LN-00288"/>
    <s v="BRW-0239"/>
    <d v="2024-12-28T00:00:00"/>
    <s v="Home Improvement"/>
    <x v="211"/>
    <n v="36"/>
    <n v="11.95"/>
    <n v="1407.27"/>
    <n v="48.1"/>
    <s v="Default"/>
    <n v="61"/>
    <x v="1"/>
    <n v="37"/>
    <s v="CO"/>
    <s v="Bachelor"/>
    <s v="Self-Employed"/>
    <x v="8"/>
    <n v="84293"/>
    <n v="671"/>
    <s v="Rent"/>
    <n v="2"/>
    <n v="1969"/>
    <x v="4"/>
    <x v="1"/>
    <x v="0"/>
    <x v="2"/>
  </r>
  <r>
    <s v="LN-00289"/>
    <s v="BRW-0239"/>
    <d v="2024-08-29T00:00:00"/>
    <s v="Vacation"/>
    <x v="212"/>
    <n v="48"/>
    <n v="10.51"/>
    <n v="957.75"/>
    <n v="41.7"/>
    <s v="Late"/>
    <n v="30"/>
    <x v="0"/>
    <n v="37"/>
    <s v="CO"/>
    <s v="Bachelor"/>
    <s v="Self-Employed"/>
    <x v="8"/>
    <n v="84293"/>
    <n v="671"/>
    <s v="Rent"/>
    <n v="2"/>
    <n v="1969"/>
    <x v="4"/>
    <x v="1"/>
    <x v="0"/>
    <x v="0"/>
  </r>
  <r>
    <s v="LN-00290"/>
    <s v="BRW-0240"/>
    <d v="2024-05-23T00:00:00"/>
    <s v="Moving"/>
    <x v="213"/>
    <n v="36"/>
    <n v="8.17"/>
    <n v="414.68"/>
    <n v="57.1"/>
    <s v="Current"/>
    <n v="0"/>
    <x v="0"/>
    <n v="68"/>
    <s v="MO"/>
    <s v="Master"/>
    <s v="Full-Time"/>
    <x v="21"/>
    <n v="116402"/>
    <n v="795"/>
    <s v="Rent"/>
    <n v="4"/>
    <n v="5127"/>
    <x v="3"/>
    <x v="0"/>
    <x v="1"/>
    <x v="0"/>
  </r>
  <r>
    <s v="LN-00291"/>
    <s v="BRW-0240"/>
    <d v="2024-05-30T00:00:00"/>
    <s v="Education"/>
    <x v="4"/>
    <n v="36"/>
    <n v="9.02"/>
    <n v="356.26"/>
    <n v="56.5"/>
    <s v="Current"/>
    <n v="0"/>
    <x v="0"/>
    <n v="68"/>
    <s v="MO"/>
    <s v="Master"/>
    <s v="Full-Time"/>
    <x v="21"/>
    <n v="116402"/>
    <n v="795"/>
    <s v="Rent"/>
    <n v="4"/>
    <n v="5127"/>
    <x v="3"/>
    <x v="0"/>
    <x v="1"/>
    <x v="2"/>
  </r>
  <r>
    <s v="LN-00292"/>
    <s v="BRW-0241"/>
    <d v="2025-02-16T00:00:00"/>
    <s v="Medical Expenses"/>
    <x v="214"/>
    <n v="36"/>
    <n v="14.15"/>
    <n v="780.91"/>
    <n v="25.2"/>
    <s v="Current"/>
    <n v="0"/>
    <x v="0"/>
    <n v="55"/>
    <s v="OR"/>
    <s v="High School"/>
    <s v="Contract"/>
    <x v="10"/>
    <n v="55670"/>
    <n v="554"/>
    <s v="Mortgage"/>
    <n v="2"/>
    <n v="389"/>
    <x v="0"/>
    <x v="2"/>
    <x v="1"/>
    <x v="0"/>
  </r>
  <r>
    <s v="LN-00293"/>
    <s v="BRW-0242"/>
    <d v="2025-03-02T00:00:00"/>
    <s v="Vacation"/>
    <x v="62"/>
    <n v="48"/>
    <n v="9.64"/>
    <n v="949.66"/>
    <n v="70"/>
    <s v="Current"/>
    <n v="0"/>
    <x v="0"/>
    <n v="31"/>
    <s v="WI"/>
    <s v="High School"/>
    <s v="Full-Time"/>
    <x v="16"/>
    <n v="35536"/>
    <n v="841"/>
    <s v="Rent"/>
    <n v="3"/>
    <n v="1124"/>
    <x v="3"/>
    <x v="0"/>
    <x v="1"/>
    <x v="0"/>
  </r>
  <r>
    <s v="LN-00294"/>
    <s v="BRW-0243"/>
    <d v="2024-08-05T00:00:00"/>
    <s v="Medical Expenses"/>
    <x v="167"/>
    <n v="60"/>
    <n v="7.41"/>
    <n v="207.95"/>
    <n v="65.5"/>
    <s v="Current"/>
    <n v="0"/>
    <x v="0"/>
    <n v="23"/>
    <s v="MI"/>
    <s v="High School"/>
    <s v="Part-Time"/>
    <x v="9"/>
    <n v="12549"/>
    <n v="791"/>
    <s v="Mortgage"/>
    <n v="0"/>
    <n v="477"/>
    <x v="3"/>
    <x v="0"/>
    <x v="1"/>
    <x v="0"/>
  </r>
  <r>
    <s v="LN-00295"/>
    <s v="BRW-0244"/>
    <d v="2024-10-23T00:00:00"/>
    <s v="Home Improvement"/>
    <x v="215"/>
    <n v="12"/>
    <n v="12.28"/>
    <n v="1263.51"/>
    <n v="66.2"/>
    <s v="Default"/>
    <n v="69"/>
    <x v="1"/>
    <n v="65"/>
    <s v="OH"/>
    <s v="Bachelor"/>
    <s v="Retired"/>
    <x v="27"/>
    <n v="31222"/>
    <n v="574"/>
    <s v="Own"/>
    <n v="2"/>
    <n v="458"/>
    <x v="0"/>
    <x v="0"/>
    <x v="2"/>
    <x v="2"/>
  </r>
  <r>
    <s v="LN-00296"/>
    <s v="BRW-0245"/>
    <d v="2024-05-26T00:00:00"/>
    <s v="Auto Loan"/>
    <x v="216"/>
    <n v="48"/>
    <n v="7.86"/>
    <n v="404.16"/>
    <n v="49.6"/>
    <s v="Current"/>
    <n v="0"/>
    <x v="0"/>
    <n v="44"/>
    <s v="SC"/>
    <s v="Associate"/>
    <s v="Full-Time"/>
    <x v="7"/>
    <n v="46634"/>
    <n v="737"/>
    <s v="Mortgage"/>
    <n v="0"/>
    <n v="1523"/>
    <x v="2"/>
    <x v="1"/>
    <x v="1"/>
    <x v="1"/>
  </r>
  <r>
    <s v="LN-00297"/>
    <s v="BRW-0246"/>
    <d v="2024-12-23T00:00:00"/>
    <s v="Auto Loan"/>
    <x v="217"/>
    <n v="48"/>
    <n v="10.23"/>
    <n v="1046.95"/>
    <n v="50.9"/>
    <s v="Default"/>
    <n v="41"/>
    <x v="1"/>
    <n v="27"/>
    <s v="MO"/>
    <s v="Bachelor"/>
    <s v="Contract"/>
    <x v="0"/>
    <n v="89061"/>
    <n v="587"/>
    <s v="Mortgage"/>
    <n v="1"/>
    <n v="2733"/>
    <x v="0"/>
    <x v="0"/>
    <x v="1"/>
    <x v="1"/>
  </r>
  <r>
    <s v="LN-00298"/>
    <s v="BRW-0246"/>
    <d v="2025-01-21T00:00:00"/>
    <s v="Major Purchase"/>
    <x v="218"/>
    <n v="48"/>
    <n v="14.72"/>
    <n v="467.94"/>
    <n v="43.1"/>
    <s v="Late"/>
    <n v="0"/>
    <x v="0"/>
    <n v="27"/>
    <s v="MO"/>
    <s v="Bachelor"/>
    <s v="Contract"/>
    <x v="0"/>
    <n v="89061"/>
    <n v="587"/>
    <s v="Mortgage"/>
    <n v="1"/>
    <n v="2733"/>
    <x v="0"/>
    <x v="1"/>
    <x v="1"/>
    <x v="1"/>
  </r>
  <r>
    <s v="LN-00299"/>
    <s v="BRW-0247"/>
    <d v="2024-11-29T00:00:00"/>
    <s v="Moving"/>
    <x v="219"/>
    <n v="48"/>
    <n v="9.18"/>
    <n v="774.09"/>
    <n v="40.200000000000003"/>
    <s v="Default"/>
    <n v="134"/>
    <x v="1"/>
    <n v="66"/>
    <s v="UT"/>
    <s v="High School"/>
    <s v="Full-Time"/>
    <x v="0"/>
    <n v="37673"/>
    <n v="694"/>
    <s v="Rent"/>
    <n v="0"/>
    <n v="488"/>
    <x v="4"/>
    <x v="1"/>
    <x v="1"/>
    <x v="0"/>
  </r>
  <r>
    <s v="LN-00300"/>
    <s v="BRW-0248"/>
    <d v="2024-03-31T00:00:00"/>
    <s v="Major Purchase"/>
    <x v="220"/>
    <n v="48"/>
    <n v="14.21"/>
    <n v="104.24"/>
    <n v="16.100000000000001"/>
    <s v="Current"/>
    <n v="0"/>
    <x v="0"/>
    <n v="66"/>
    <s v="MD"/>
    <s v="Master"/>
    <s v="Full-Time"/>
    <x v="13"/>
    <n v="58595"/>
    <n v="568"/>
    <s v="Rent"/>
    <n v="2"/>
    <n v="682"/>
    <x v="0"/>
    <x v="2"/>
    <x v="1"/>
    <x v="1"/>
  </r>
  <r>
    <s v="LN-00301"/>
    <s v="BRW-0249"/>
    <d v="2024-02-24T00:00:00"/>
    <s v="Auto Loan"/>
    <x v="100"/>
    <n v="60"/>
    <n v="8.2899999999999991"/>
    <n v="104.12"/>
    <n v="51.2"/>
    <s v="Paid Off"/>
    <n v="0"/>
    <x v="0"/>
    <n v="42"/>
    <s v="MD"/>
    <s v="High School"/>
    <s v="Full-Time"/>
    <x v="9"/>
    <n v="27475"/>
    <n v="728"/>
    <s v="Mortgage"/>
    <n v="0"/>
    <n v="1069"/>
    <x v="2"/>
    <x v="0"/>
    <x v="1"/>
    <x v="1"/>
  </r>
  <r>
    <s v="LN-00302"/>
    <s v="BRW-0250"/>
    <d v="2024-10-08T00:00:00"/>
    <s v="Debt Consolidation"/>
    <x v="82"/>
    <n v="24"/>
    <n v="14.71"/>
    <n v="1315.09"/>
    <n v="66.5"/>
    <s v="Paid Off"/>
    <n v="0"/>
    <x v="0"/>
    <n v="46"/>
    <s v="AL"/>
    <s v="Bachelor"/>
    <s v="Full-Time"/>
    <x v="26"/>
    <n v="65089"/>
    <n v="606"/>
    <s v="Rent"/>
    <n v="0"/>
    <n v="2292"/>
    <x v="1"/>
    <x v="0"/>
    <x v="1"/>
    <x v="1"/>
  </r>
  <r>
    <s v="LN-00303"/>
    <s v="BRW-0251"/>
    <d v="2024-02-16T00:00:00"/>
    <s v="Vacation"/>
    <x v="221"/>
    <n v="36"/>
    <n v="10.28"/>
    <n v="392.03"/>
    <n v="52.7"/>
    <s v="Late"/>
    <n v="15"/>
    <x v="0"/>
    <n v="44"/>
    <s v="WI"/>
    <s v="High School"/>
    <s v="Full-Time"/>
    <x v="3"/>
    <n v="51921"/>
    <n v="704"/>
    <s v="Rent"/>
    <n v="1"/>
    <n v="1889"/>
    <x v="2"/>
    <x v="0"/>
    <x v="1"/>
    <x v="0"/>
  </r>
  <r>
    <s v="LN-00304"/>
    <s v="BRW-0251"/>
    <d v="2024-04-03T00:00:00"/>
    <s v="Medical Expenses"/>
    <x v="222"/>
    <n v="36"/>
    <n v="10.18"/>
    <n v="1161.43"/>
    <n v="70.5"/>
    <s v="Default"/>
    <n v="55"/>
    <x v="1"/>
    <n v="44"/>
    <s v="WI"/>
    <s v="High School"/>
    <s v="Full-Time"/>
    <x v="3"/>
    <n v="51921"/>
    <n v="704"/>
    <s v="Rent"/>
    <n v="1"/>
    <n v="1889"/>
    <x v="2"/>
    <x v="0"/>
    <x v="1"/>
    <x v="0"/>
  </r>
  <r>
    <s v="LN-00305"/>
    <s v="BRW-0252"/>
    <d v="2025-02-21T00:00:00"/>
    <s v="Auto Loan"/>
    <x v="223"/>
    <n v="12"/>
    <n v="9.92"/>
    <n v="870"/>
    <n v="54"/>
    <s v="Paid Off"/>
    <n v="0"/>
    <x v="0"/>
    <n v="23"/>
    <s v="WA"/>
    <s v="Bachelor"/>
    <s v="Self-Employed"/>
    <x v="9"/>
    <n v="69345"/>
    <n v="651"/>
    <s v="Mortgage"/>
    <n v="1"/>
    <n v="2252"/>
    <x v="4"/>
    <x v="0"/>
    <x v="0"/>
    <x v="1"/>
  </r>
  <r>
    <s v="LN-00306"/>
    <s v="BRW-0253"/>
    <d v="2024-11-27T00:00:00"/>
    <s v="Debt Consolidation"/>
    <x v="136"/>
    <n v="24"/>
    <n v="11.13"/>
    <n v="266.01"/>
    <n v="49.6"/>
    <s v="Late"/>
    <n v="15"/>
    <x v="0"/>
    <n v="64"/>
    <s v="IL"/>
    <s v="Bachelor"/>
    <s v="Self-Employed"/>
    <x v="1"/>
    <n v="59445"/>
    <n v="656"/>
    <s v="Own"/>
    <n v="1"/>
    <n v="2189"/>
    <x v="4"/>
    <x v="1"/>
    <x v="0"/>
    <x v="1"/>
  </r>
  <r>
    <s v="LN-00307"/>
    <s v="BRW-0254"/>
    <d v="2025-05-31T00:00:00"/>
    <s v="Business Loan"/>
    <x v="224"/>
    <n v="48"/>
    <n v="13.59"/>
    <n v="816.35"/>
    <n v="27"/>
    <s v="Current"/>
    <n v="0"/>
    <x v="0"/>
    <n v="31"/>
    <s v="LA"/>
    <s v="Master"/>
    <s v="Full-Time"/>
    <x v="1"/>
    <n v="63742"/>
    <n v="537"/>
    <s v="Mortgage"/>
    <n v="0"/>
    <n v="617"/>
    <x v="0"/>
    <x v="2"/>
    <x v="1"/>
    <x v="2"/>
  </r>
  <r>
    <s v="LN-00308"/>
    <s v="BRW-0255"/>
    <d v="2024-01-20T00:00:00"/>
    <s v="Major Purchase"/>
    <x v="225"/>
    <n v="24"/>
    <n v="14.87"/>
    <n v="116.22"/>
    <n v="38.299999999999997"/>
    <s v="Default"/>
    <n v="180"/>
    <x v="1"/>
    <n v="33"/>
    <s v="MO"/>
    <s v="Bachelor"/>
    <s v="Part-Time"/>
    <x v="10"/>
    <n v="40311"/>
    <n v="582"/>
    <s v="Own"/>
    <n v="0"/>
    <n v="1172"/>
    <x v="0"/>
    <x v="1"/>
    <x v="1"/>
    <x v="1"/>
  </r>
  <r>
    <s v="LN-00309"/>
    <s v="BRW-0256"/>
    <d v="2025-02-20T00:00:00"/>
    <s v="Business Loan"/>
    <x v="226"/>
    <n v="24"/>
    <n v="11.81"/>
    <n v="1564.59"/>
    <n v="34.299999999999997"/>
    <s v="Current"/>
    <n v="0"/>
    <x v="0"/>
    <n v="42"/>
    <s v="GA"/>
    <s v="Master"/>
    <s v="Full-Time"/>
    <x v="13"/>
    <n v="90104"/>
    <n v="583"/>
    <s v="Rent"/>
    <n v="2"/>
    <n v="1012"/>
    <x v="0"/>
    <x v="2"/>
    <x v="1"/>
    <x v="2"/>
  </r>
  <r>
    <s v="LN-00310"/>
    <s v="BRW-0257"/>
    <d v="2025-03-09T00:00:00"/>
    <s v="Medical Expenses"/>
    <x v="227"/>
    <n v="24"/>
    <n v="12.7"/>
    <n v="1113.92"/>
    <n v="71.2"/>
    <s v="Current"/>
    <n v="0"/>
    <x v="0"/>
    <n v="46"/>
    <s v="NC"/>
    <s v="High School"/>
    <s v="Full-Time"/>
    <x v="9"/>
    <n v="31847"/>
    <n v="599"/>
    <s v="Own"/>
    <n v="1"/>
    <n v="775"/>
    <x v="0"/>
    <x v="0"/>
    <x v="1"/>
    <x v="0"/>
  </r>
  <r>
    <s v="LN-00311"/>
    <s v="BRW-0258"/>
    <d v="2025-05-08T00:00:00"/>
    <s v="Wedding"/>
    <x v="228"/>
    <n v="12"/>
    <n v="7.25"/>
    <n v="2833.19"/>
    <n v="85.7"/>
    <s v="Late"/>
    <n v="0"/>
    <x v="0"/>
    <n v="26"/>
    <s v="MA"/>
    <s v="Bachelor"/>
    <s v="Retired"/>
    <x v="1"/>
    <n v="51955"/>
    <n v="783"/>
    <s v="Mortgage"/>
    <n v="0"/>
    <n v="876"/>
    <x v="3"/>
    <x v="3"/>
    <x v="2"/>
    <x v="0"/>
  </r>
  <r>
    <s v="LN-00312"/>
    <s v="BRW-0258"/>
    <d v="2024-06-14T00:00:00"/>
    <s v="Education"/>
    <x v="116"/>
    <n v="60"/>
    <n v="8.36"/>
    <n v="249.48"/>
    <n v="26"/>
    <s v="Current"/>
    <n v="0"/>
    <x v="0"/>
    <n v="26"/>
    <s v="MA"/>
    <s v="Bachelor"/>
    <s v="Retired"/>
    <x v="1"/>
    <n v="51955"/>
    <n v="783"/>
    <s v="Mortgage"/>
    <n v="0"/>
    <n v="876"/>
    <x v="3"/>
    <x v="2"/>
    <x v="2"/>
    <x v="2"/>
  </r>
  <r>
    <s v="LN-00313"/>
    <s v="BRW-0259"/>
    <d v="2024-08-03T00:00:00"/>
    <s v="Home Improvement"/>
    <x v="229"/>
    <n v="36"/>
    <n v="12.84"/>
    <n v="1176.5899999999999"/>
    <n v="76.099999999999994"/>
    <s v="Late"/>
    <n v="30"/>
    <x v="0"/>
    <n v="47"/>
    <s v="OR"/>
    <s v="Associate"/>
    <s v="Part-Time"/>
    <x v="7"/>
    <n v="36601"/>
    <n v="693"/>
    <s v="Mortgage"/>
    <n v="3"/>
    <n v="1145"/>
    <x v="4"/>
    <x v="3"/>
    <x v="1"/>
    <x v="2"/>
  </r>
  <r>
    <s v="LN-00314"/>
    <s v="BRW-0260"/>
    <d v="2024-11-25T00:00:00"/>
    <s v="Education"/>
    <x v="230"/>
    <n v="48"/>
    <n v="10.83"/>
    <n v="1262.3900000000001"/>
    <n v="46.7"/>
    <s v="Current"/>
    <n v="0"/>
    <x v="0"/>
    <n v="60"/>
    <s v="WA"/>
    <s v="High School"/>
    <s v="Full-Time"/>
    <x v="24"/>
    <n v="55744"/>
    <n v="632"/>
    <s v="Mortgage"/>
    <n v="4"/>
    <n v="909"/>
    <x v="1"/>
    <x v="1"/>
    <x v="1"/>
    <x v="2"/>
  </r>
  <r>
    <s v="LN-00315"/>
    <s v="BRW-0261"/>
    <d v="2024-01-10T00:00:00"/>
    <s v="Medical Expenses"/>
    <x v="231"/>
    <n v="48"/>
    <n v="8.42"/>
    <n v="51.68"/>
    <n v="11.8"/>
    <s v="Paid Off"/>
    <n v="0"/>
    <x v="0"/>
    <n v="66"/>
    <s v="KY"/>
    <s v="Bachelor"/>
    <s v="Retired"/>
    <x v="31"/>
    <n v="54293"/>
    <n v="696"/>
    <s v="Mortgage"/>
    <n v="1"/>
    <n v="483"/>
    <x v="4"/>
    <x v="2"/>
    <x v="2"/>
    <x v="0"/>
  </r>
  <r>
    <s v="LN-00316"/>
    <s v="BRW-0262"/>
    <d v="2025-03-31T00:00:00"/>
    <s v="Major Purchase"/>
    <x v="10"/>
    <n v="12"/>
    <n v="9.34"/>
    <n v="1165.2"/>
    <n v="96.6"/>
    <s v="Paid Off"/>
    <n v="0"/>
    <x v="0"/>
    <n v="58"/>
    <s v="MA"/>
    <s v="High School"/>
    <s v="Retired"/>
    <x v="18"/>
    <n v="17239"/>
    <n v="801"/>
    <s v="Rent"/>
    <n v="3"/>
    <n v="222"/>
    <x v="3"/>
    <x v="3"/>
    <x v="2"/>
    <x v="1"/>
  </r>
  <r>
    <s v="LN-00317"/>
    <s v="BRW-0263"/>
    <d v="2025-01-14T00:00:00"/>
    <s v="Education"/>
    <x v="232"/>
    <n v="12"/>
    <n v="7.97"/>
    <n v="3679.02"/>
    <n v="72.599999999999994"/>
    <s v="Current"/>
    <n v="0"/>
    <x v="0"/>
    <n v="40"/>
    <s v="MI"/>
    <s v="Master"/>
    <s v="Full-Time"/>
    <x v="8"/>
    <n v="127340"/>
    <n v="759"/>
    <s v="Own"/>
    <n v="0"/>
    <n v="4025"/>
    <x v="3"/>
    <x v="0"/>
    <x v="1"/>
    <x v="2"/>
  </r>
  <r>
    <s v="LN-00318"/>
    <s v="BRW-0263"/>
    <d v="2024-11-06T00:00:00"/>
    <s v="Debt Consolidation"/>
    <x v="233"/>
    <n v="36"/>
    <n v="8.31"/>
    <n v="1092.3399999999999"/>
    <n v="48.2"/>
    <s v="Paid Off"/>
    <n v="0"/>
    <x v="0"/>
    <n v="40"/>
    <s v="MI"/>
    <s v="Master"/>
    <s v="Full-Time"/>
    <x v="8"/>
    <n v="127340"/>
    <n v="759"/>
    <s v="Own"/>
    <n v="0"/>
    <n v="4025"/>
    <x v="3"/>
    <x v="1"/>
    <x v="1"/>
    <x v="1"/>
  </r>
  <r>
    <s v="LN-00319"/>
    <s v="BRW-0264"/>
    <d v="2024-07-19T00:00:00"/>
    <s v="Debt Consolidation"/>
    <x v="234"/>
    <n v="60"/>
    <n v="7.03"/>
    <n v="794.6"/>
    <n v="64.8"/>
    <s v="Current"/>
    <n v="0"/>
    <x v="0"/>
    <n v="67"/>
    <s v="MO"/>
    <s v="Bachelor"/>
    <s v="Full-Time"/>
    <x v="24"/>
    <n v="69250"/>
    <n v="841"/>
    <s v="Mortgage"/>
    <n v="1"/>
    <n v="2944"/>
    <x v="3"/>
    <x v="0"/>
    <x v="1"/>
    <x v="1"/>
  </r>
  <r>
    <s v="LN-00320"/>
    <s v="BRW-0264"/>
    <d v="2024-06-28T00:00:00"/>
    <s v="Auto Loan"/>
    <x v="187"/>
    <n v="60"/>
    <n v="6.95"/>
    <n v="508.28"/>
    <n v="59.8"/>
    <s v="Default"/>
    <n v="62"/>
    <x v="1"/>
    <n v="67"/>
    <s v="MO"/>
    <s v="Bachelor"/>
    <s v="Full-Time"/>
    <x v="24"/>
    <n v="69250"/>
    <n v="841"/>
    <s v="Mortgage"/>
    <n v="1"/>
    <n v="2944"/>
    <x v="3"/>
    <x v="0"/>
    <x v="1"/>
    <x v="1"/>
  </r>
  <r>
    <s v="LN-00321"/>
    <s v="BRW-0265"/>
    <d v="2024-10-07T00:00:00"/>
    <s v="Medical Expenses"/>
    <x v="235"/>
    <n v="24"/>
    <n v="10.76"/>
    <n v="1367"/>
    <n v="38.799999999999997"/>
    <s v="Paid Off"/>
    <n v="0"/>
    <x v="0"/>
    <n v="66"/>
    <s v="GA"/>
    <s v="Bachelor"/>
    <s v="Full-Time"/>
    <x v="6"/>
    <n v="102385"/>
    <n v="819"/>
    <s v="Own"/>
    <n v="2"/>
    <n v="1941"/>
    <x v="3"/>
    <x v="1"/>
    <x v="1"/>
    <x v="0"/>
  </r>
  <r>
    <s v="LN-00322"/>
    <s v="BRW-0266"/>
    <d v="2025-03-13T00:00:00"/>
    <s v="Moving"/>
    <x v="24"/>
    <n v="48"/>
    <n v="7.78"/>
    <n v="787.64"/>
    <n v="30.9"/>
    <s v="Late"/>
    <n v="15"/>
    <x v="0"/>
    <n v="63"/>
    <s v="AZ"/>
    <s v="Bachelor"/>
    <s v="Part-Time"/>
    <x v="32"/>
    <n v="44963"/>
    <n v="734"/>
    <s v="Rent"/>
    <n v="0"/>
    <n v="372"/>
    <x v="2"/>
    <x v="2"/>
    <x v="1"/>
    <x v="0"/>
  </r>
  <r>
    <s v="LN-00323"/>
    <s v="BRW-0267"/>
    <d v="2025-04-22T00:00:00"/>
    <s v="Major Purchase"/>
    <x v="91"/>
    <n v="12"/>
    <n v="9.58"/>
    <n v="1885.99"/>
    <n v="68.099999999999994"/>
    <s v="Current"/>
    <n v="0"/>
    <x v="0"/>
    <n v="36"/>
    <s v="WA"/>
    <s v="Bachelor"/>
    <s v="Full-Time"/>
    <x v="23"/>
    <n v="77637"/>
    <n v="829"/>
    <s v="Mortgage"/>
    <n v="1"/>
    <n v="2521"/>
    <x v="3"/>
    <x v="0"/>
    <x v="1"/>
    <x v="1"/>
  </r>
  <r>
    <s v="LN-00324"/>
    <s v="BRW-0267"/>
    <d v="2024-01-06T00:00:00"/>
    <s v="Business Loan"/>
    <x v="236"/>
    <n v="60"/>
    <n v="8.43"/>
    <n v="524.36"/>
    <n v="47.1"/>
    <s v="Paid Off"/>
    <n v="0"/>
    <x v="0"/>
    <n v="36"/>
    <s v="WA"/>
    <s v="Bachelor"/>
    <s v="Full-Time"/>
    <x v="23"/>
    <n v="77637"/>
    <n v="829"/>
    <s v="Mortgage"/>
    <n v="1"/>
    <n v="2521"/>
    <x v="3"/>
    <x v="1"/>
    <x v="1"/>
    <x v="2"/>
  </r>
  <r>
    <s v="LN-00325"/>
    <s v="BRW-0268"/>
    <d v="2024-07-20T00:00:00"/>
    <s v="Business Loan"/>
    <x v="204"/>
    <n v="12"/>
    <n v="14.87"/>
    <n v="2011.39"/>
    <n v="109.3"/>
    <s v="Default"/>
    <n v="109"/>
    <x v="1"/>
    <n v="66"/>
    <s v="NY"/>
    <s v="Bachelor"/>
    <s v="Full-Time"/>
    <x v="4"/>
    <n v="42167"/>
    <n v="583"/>
    <s v="Mortgage"/>
    <n v="0"/>
    <n v="1828"/>
    <x v="0"/>
    <x v="3"/>
    <x v="1"/>
    <x v="2"/>
  </r>
  <r>
    <s v="LN-00326"/>
    <s v="BRW-0268"/>
    <d v="2024-01-25T00:00:00"/>
    <s v="Home Improvement"/>
    <x v="201"/>
    <n v="48"/>
    <n v="12.44"/>
    <n v="161.96"/>
    <n v="56.6"/>
    <s v="Current"/>
    <n v="0"/>
    <x v="0"/>
    <n v="66"/>
    <s v="NY"/>
    <s v="Bachelor"/>
    <s v="Full-Time"/>
    <x v="4"/>
    <n v="42167"/>
    <n v="583"/>
    <s v="Mortgage"/>
    <n v="0"/>
    <n v="1828"/>
    <x v="0"/>
    <x v="0"/>
    <x v="1"/>
    <x v="2"/>
  </r>
  <r>
    <s v="LN-00327"/>
    <s v="BRW-0269"/>
    <d v="2025-06-16T00:00:00"/>
    <s v="Home Improvement"/>
    <x v="237"/>
    <n v="12"/>
    <n v="10.76"/>
    <n v="4236.95"/>
    <n v="117.3"/>
    <s v="Late"/>
    <n v="15"/>
    <x v="0"/>
    <n v="31"/>
    <s v="FL"/>
    <s v="Associate"/>
    <s v="Full-Time"/>
    <x v="23"/>
    <n v="65633"/>
    <n v="801"/>
    <s v="Mortgage"/>
    <n v="1"/>
    <n v="2178"/>
    <x v="3"/>
    <x v="3"/>
    <x v="1"/>
    <x v="2"/>
  </r>
  <r>
    <s v="LN-00328"/>
    <s v="BRW-0270"/>
    <d v="2024-02-04T00:00:00"/>
    <s v="Home Improvement"/>
    <x v="95"/>
    <n v="12"/>
    <n v="15.86"/>
    <n v="2692.74"/>
    <n v="119.6"/>
    <s v="Default"/>
    <n v="46"/>
    <x v="1"/>
    <n v="42"/>
    <s v="MN"/>
    <s v="High School"/>
    <s v="Full-Time"/>
    <x v="16"/>
    <n v="47419"/>
    <n v="541"/>
    <s v="Mortgage"/>
    <n v="3"/>
    <n v="2034"/>
    <x v="0"/>
    <x v="3"/>
    <x v="1"/>
    <x v="2"/>
  </r>
  <r>
    <s v="LN-00329"/>
    <s v="BRW-0271"/>
    <d v="2025-03-18T00:00:00"/>
    <s v="Debt Consolidation"/>
    <x v="238"/>
    <n v="36"/>
    <n v="10.67"/>
    <n v="723.34"/>
    <n v="39.9"/>
    <s v="Default"/>
    <n v="44"/>
    <x v="1"/>
    <n v="37"/>
    <s v="WA"/>
    <s v="Bachelor"/>
    <s v="Part-Time"/>
    <x v="7"/>
    <n v="33944"/>
    <n v="743"/>
    <s v="Own"/>
    <n v="2"/>
    <n v="405"/>
    <x v="2"/>
    <x v="1"/>
    <x v="1"/>
    <x v="1"/>
  </r>
  <r>
    <s v="LN-00330"/>
    <s v="BRW-0272"/>
    <d v="2024-08-26T00:00:00"/>
    <s v="Auto Loan"/>
    <x v="189"/>
    <n v="60"/>
    <n v="13.16"/>
    <n v="486.39"/>
    <n v="23"/>
    <s v="Late"/>
    <n v="0"/>
    <x v="0"/>
    <n v="64"/>
    <s v="WA"/>
    <s v="Bachelor"/>
    <s v="Full-Time"/>
    <x v="12"/>
    <n v="79780"/>
    <n v="636"/>
    <s v="Mortgage"/>
    <n v="0"/>
    <n v="1046"/>
    <x v="1"/>
    <x v="2"/>
    <x v="1"/>
    <x v="1"/>
  </r>
  <r>
    <s v="LN-00331"/>
    <s v="BRW-0273"/>
    <d v="2024-01-27T00:00:00"/>
    <s v="Vacation"/>
    <x v="239"/>
    <n v="60"/>
    <n v="10.81"/>
    <n v="956.83"/>
    <n v="29.8"/>
    <s v="Current"/>
    <n v="0"/>
    <x v="0"/>
    <n v="39"/>
    <s v="NJ"/>
    <s v="Master"/>
    <s v="Contract"/>
    <x v="13"/>
    <n v="59967"/>
    <n v="582"/>
    <s v="Own"/>
    <n v="0"/>
    <n v="534"/>
    <x v="0"/>
    <x v="2"/>
    <x v="1"/>
    <x v="0"/>
  </r>
  <r>
    <s v="LN-00332"/>
    <s v="BRW-0274"/>
    <d v="2024-05-09T00:00:00"/>
    <s v="Wedding"/>
    <x v="240"/>
    <n v="24"/>
    <n v="10.36"/>
    <n v="1412.49"/>
    <n v="38.1"/>
    <s v="Current"/>
    <n v="0"/>
    <x v="0"/>
    <n v="64"/>
    <s v="MD"/>
    <s v="Master"/>
    <s v="Full-Time"/>
    <x v="31"/>
    <n v="109435"/>
    <n v="850"/>
    <s v="Mortgage"/>
    <n v="0"/>
    <n v="2060"/>
    <x v="3"/>
    <x v="1"/>
    <x v="1"/>
    <x v="0"/>
  </r>
  <r>
    <s v="LN-00333"/>
    <s v="BRW-0275"/>
    <d v="2024-11-15T00:00:00"/>
    <s v="Vacation"/>
    <x v="56"/>
    <n v="12"/>
    <n v="8.77"/>
    <n v="690.02"/>
    <n v="29.9"/>
    <s v="Late"/>
    <n v="0"/>
    <x v="0"/>
    <n v="51"/>
    <s v="NJ"/>
    <s v="Bachelor"/>
    <s v="Contract"/>
    <x v="6"/>
    <n v="85642"/>
    <n v="692"/>
    <s v="Rent"/>
    <n v="0"/>
    <n v="1446"/>
    <x v="4"/>
    <x v="2"/>
    <x v="1"/>
    <x v="0"/>
  </r>
  <r>
    <s v="LN-00334"/>
    <s v="BRW-0276"/>
    <d v="2024-12-17T00:00:00"/>
    <s v="Wedding"/>
    <x v="6"/>
    <n v="24"/>
    <n v="8.35"/>
    <n v="1779.17"/>
    <n v="69.400000000000006"/>
    <s v="Late"/>
    <n v="30"/>
    <x v="0"/>
    <n v="33"/>
    <s v="AZ"/>
    <s v="Bachelor"/>
    <s v="Full-Time"/>
    <x v="9"/>
    <n v="65383"/>
    <n v="840"/>
    <s v="Mortgage"/>
    <n v="0"/>
    <n v="2003"/>
    <x v="3"/>
    <x v="0"/>
    <x v="1"/>
    <x v="0"/>
  </r>
  <r>
    <s v="LN-00335"/>
    <s v="BRW-0277"/>
    <d v="2025-03-08T00:00:00"/>
    <s v="Medical Expenses"/>
    <x v="241"/>
    <n v="60"/>
    <n v="14.04"/>
    <n v="204.94"/>
    <n v="33.4"/>
    <s v="Late"/>
    <n v="30"/>
    <x v="0"/>
    <n v="66"/>
    <s v="PA"/>
    <s v="Master"/>
    <s v="Retired"/>
    <x v="33"/>
    <n v="41677"/>
    <n v="615"/>
    <s v="Mortgage"/>
    <n v="1"/>
    <n v="956"/>
    <x v="1"/>
    <x v="2"/>
    <x v="2"/>
    <x v="0"/>
  </r>
  <r>
    <s v="LN-00336"/>
    <s v="BRW-0278"/>
    <d v="2024-12-05T00:00:00"/>
    <s v="Home Improvement"/>
    <x v="242"/>
    <n v="48"/>
    <n v="12.52"/>
    <n v="744.52"/>
    <n v="40.9"/>
    <s v="Current"/>
    <n v="0"/>
    <x v="0"/>
    <n v="25"/>
    <s v="IN"/>
    <s v="Master"/>
    <s v="Retired"/>
    <x v="20"/>
    <n v="57707"/>
    <n v="629"/>
    <s v="Rent"/>
    <n v="2"/>
    <n v="1224"/>
    <x v="1"/>
    <x v="1"/>
    <x v="2"/>
    <x v="2"/>
  </r>
  <r>
    <s v="LN-00337"/>
    <s v="BRW-0279"/>
    <d v="2024-01-04T00:00:00"/>
    <s v="Education"/>
    <x v="88"/>
    <n v="12"/>
    <n v="12.86"/>
    <n v="1535.13"/>
    <n v="44.4"/>
    <s v="Current"/>
    <n v="0"/>
    <x v="0"/>
    <n v="53"/>
    <s v="GA"/>
    <s v="Bachelor"/>
    <s v="Contract"/>
    <x v="18"/>
    <n v="71779"/>
    <n v="577"/>
    <s v="Rent"/>
    <n v="0"/>
    <n v="1121"/>
    <x v="0"/>
    <x v="1"/>
    <x v="1"/>
    <x v="2"/>
  </r>
  <r>
    <s v="LN-00338"/>
    <s v="BRW-0280"/>
    <d v="2025-01-19T00:00:00"/>
    <s v="Vacation"/>
    <x v="243"/>
    <n v="36"/>
    <n v="10.99"/>
    <n v="1561.41"/>
    <n v="77.5"/>
    <s v="Paid Off"/>
    <n v="0"/>
    <x v="0"/>
    <n v="56"/>
    <s v="MD"/>
    <s v="Associate"/>
    <s v="Self-Employed"/>
    <x v="34"/>
    <n v="55533"/>
    <n v="783"/>
    <s v="Mortgage"/>
    <n v="0"/>
    <n v="2024"/>
    <x v="3"/>
    <x v="3"/>
    <x v="0"/>
    <x v="0"/>
  </r>
  <r>
    <s v="LN-00339"/>
    <s v="BRW-0281"/>
    <d v="2024-07-18T00:00:00"/>
    <s v="Home Improvement"/>
    <x v="5"/>
    <n v="24"/>
    <n v="8.6999999999999993"/>
    <n v="1302.6500000000001"/>
    <n v="64"/>
    <s v="Late"/>
    <n v="15"/>
    <x v="0"/>
    <n v="45"/>
    <s v="AZ"/>
    <s v="Bachelor"/>
    <s v="Self-Employed"/>
    <x v="13"/>
    <n v="89088"/>
    <n v="765"/>
    <s v="Own"/>
    <n v="0"/>
    <n v="3452"/>
    <x v="3"/>
    <x v="0"/>
    <x v="0"/>
    <x v="2"/>
  </r>
  <r>
    <s v="LN-00340"/>
    <s v="BRW-0282"/>
    <d v="2024-12-13T00:00:00"/>
    <s v="Business Loan"/>
    <x v="244"/>
    <n v="36"/>
    <n v="11.88"/>
    <n v="149.21"/>
    <n v="22.8"/>
    <s v="Current"/>
    <n v="0"/>
    <x v="0"/>
    <n v="37"/>
    <s v="FL"/>
    <s v="Associate"/>
    <s v="Retired"/>
    <x v="9"/>
    <n v="30106"/>
    <n v="703"/>
    <s v="Mortgage"/>
    <n v="2"/>
    <n v="422"/>
    <x v="2"/>
    <x v="2"/>
    <x v="2"/>
    <x v="2"/>
  </r>
  <r>
    <s v="LN-00341"/>
    <s v="BRW-0282"/>
    <d v="2024-05-20T00:00:00"/>
    <s v="Medical Expenses"/>
    <x v="245"/>
    <n v="12"/>
    <n v="12.44"/>
    <n v="3214.88"/>
    <n v="145"/>
    <s v="Current"/>
    <n v="0"/>
    <x v="0"/>
    <n v="37"/>
    <s v="FL"/>
    <s v="Associate"/>
    <s v="Retired"/>
    <x v="9"/>
    <n v="30106"/>
    <n v="703"/>
    <s v="Mortgage"/>
    <n v="2"/>
    <n v="422"/>
    <x v="2"/>
    <x v="3"/>
    <x v="2"/>
    <x v="0"/>
  </r>
  <r>
    <s v="LN-00342"/>
    <s v="BRW-0283"/>
    <d v="2025-06-23T00:00:00"/>
    <s v="Auto Loan"/>
    <x v="246"/>
    <n v="36"/>
    <n v="10.74"/>
    <n v="642.53"/>
    <n v="25"/>
    <s v="Late"/>
    <n v="30"/>
    <x v="0"/>
    <n v="59"/>
    <s v="KY"/>
    <s v="Bachelor"/>
    <s v="Contract"/>
    <x v="16"/>
    <n v="79534"/>
    <n v="754"/>
    <s v="Mortgage"/>
    <n v="0"/>
    <n v="1017"/>
    <x v="3"/>
    <x v="2"/>
    <x v="1"/>
    <x v="1"/>
  </r>
  <r>
    <s v="LN-00343"/>
    <s v="BRW-0283"/>
    <d v="2024-07-15T00:00:00"/>
    <s v="Home Improvement"/>
    <x v="247"/>
    <n v="24"/>
    <n v="11.41"/>
    <n v="1464.79"/>
    <n v="37.4"/>
    <s v="Current"/>
    <n v="0"/>
    <x v="0"/>
    <n v="59"/>
    <s v="KY"/>
    <s v="Bachelor"/>
    <s v="Contract"/>
    <x v="16"/>
    <n v="79534"/>
    <n v="754"/>
    <s v="Mortgage"/>
    <n v="0"/>
    <n v="1017"/>
    <x v="3"/>
    <x v="1"/>
    <x v="1"/>
    <x v="2"/>
  </r>
  <r>
    <s v="LN-00344"/>
    <s v="BRW-0284"/>
    <d v="2024-10-28T00:00:00"/>
    <s v="Business Loan"/>
    <x v="115"/>
    <n v="60"/>
    <n v="10.6"/>
    <n v="831.58"/>
    <n v="31"/>
    <s v="Current"/>
    <n v="0"/>
    <x v="0"/>
    <n v="25"/>
    <s v="MI"/>
    <s v="Bachelor"/>
    <s v="Full-Time"/>
    <x v="9"/>
    <n v="78679"/>
    <n v="621"/>
    <s v="Rent"/>
    <n v="0"/>
    <n v="1204"/>
    <x v="1"/>
    <x v="2"/>
    <x v="1"/>
    <x v="2"/>
  </r>
  <r>
    <s v="LN-00345"/>
    <s v="BRW-0285"/>
    <d v="2024-03-24T00:00:00"/>
    <s v="Medical Expenses"/>
    <x v="137"/>
    <n v="48"/>
    <n v="8.6300000000000008"/>
    <n v="1198.42"/>
    <n v="58.9"/>
    <s v="Late"/>
    <n v="0"/>
    <x v="0"/>
    <n v="54"/>
    <s v="OK"/>
    <s v="Doctorate"/>
    <s v="Self-Employed"/>
    <x v="20"/>
    <n v="76451"/>
    <n v="745"/>
    <s v="Rent"/>
    <n v="2"/>
    <n v="2552"/>
    <x v="2"/>
    <x v="0"/>
    <x v="0"/>
    <x v="0"/>
  </r>
  <r>
    <s v="LN-00346"/>
    <s v="BRW-0286"/>
    <d v="2025-06-15T00:00:00"/>
    <s v="Major Purchase"/>
    <x v="248"/>
    <n v="60"/>
    <n v="9.6"/>
    <n v="694.68"/>
    <n v="38"/>
    <s v="Current"/>
    <n v="0"/>
    <x v="0"/>
    <n v="30"/>
    <s v="CO"/>
    <s v="Associate"/>
    <s v="Self-Employed"/>
    <x v="23"/>
    <n v="67675"/>
    <n v="736"/>
    <s v="Own"/>
    <n v="0"/>
    <n v="1450"/>
    <x v="2"/>
    <x v="1"/>
    <x v="0"/>
    <x v="1"/>
  </r>
  <r>
    <s v="LN-00347"/>
    <s v="BRW-0287"/>
    <d v="2024-07-31T00:00:00"/>
    <s v="Vacation"/>
    <x v="249"/>
    <n v="60"/>
    <n v="10.98"/>
    <n v="560.70000000000005"/>
    <n v="37"/>
    <s v="Paid Off"/>
    <n v="0"/>
    <x v="0"/>
    <n v="50"/>
    <s v="SC"/>
    <s v="High School"/>
    <s v="Self-Employed"/>
    <x v="19"/>
    <n v="49464"/>
    <n v="736"/>
    <s v="Rent"/>
    <n v="3"/>
    <n v="966"/>
    <x v="2"/>
    <x v="1"/>
    <x v="0"/>
    <x v="0"/>
  </r>
  <r>
    <s v="LN-00348"/>
    <s v="BRW-0288"/>
    <d v="2025-01-18T00:00:00"/>
    <s v="Auto Loan"/>
    <x v="250"/>
    <n v="24"/>
    <n v="14.98"/>
    <n v="974.39"/>
    <n v="26.1"/>
    <s v="Default"/>
    <n v="51"/>
    <x v="1"/>
    <n v="53"/>
    <s v="SC"/>
    <s v="Associate"/>
    <s v="Full-Time"/>
    <x v="29"/>
    <n v="65165"/>
    <n v="582"/>
    <s v="Mortgage"/>
    <n v="1"/>
    <n v="443"/>
    <x v="0"/>
    <x v="2"/>
    <x v="1"/>
    <x v="1"/>
  </r>
  <r>
    <s v="LN-00349"/>
    <s v="BRW-0289"/>
    <d v="2025-04-21T00:00:00"/>
    <s v="Home Improvement"/>
    <x v="141"/>
    <n v="24"/>
    <n v="9.8699999999999992"/>
    <n v="917.09"/>
    <n v="53.6"/>
    <s v="Current"/>
    <n v="0"/>
    <x v="0"/>
    <n v="56"/>
    <s v="MI"/>
    <s v="Bachelor"/>
    <s v="Retired"/>
    <x v="13"/>
    <n v="55935"/>
    <n v="783"/>
    <s v="Mortgage"/>
    <n v="1"/>
    <n v="1580"/>
    <x v="3"/>
    <x v="0"/>
    <x v="2"/>
    <x v="2"/>
  </r>
  <r>
    <s v="LN-00350"/>
    <s v="BRW-0290"/>
    <d v="2025-03-28T00:00:00"/>
    <s v="Education"/>
    <x v="88"/>
    <n v="48"/>
    <n v="10.56"/>
    <n v="440.88"/>
    <n v="9.8000000000000007"/>
    <s v="Default"/>
    <n v="49"/>
    <x v="1"/>
    <n v="58"/>
    <s v="KY"/>
    <s v="Master"/>
    <s v="Self-Employed"/>
    <x v="9"/>
    <n v="131318"/>
    <n v="574"/>
    <s v="Own"/>
    <n v="3"/>
    <n v="636"/>
    <x v="0"/>
    <x v="2"/>
    <x v="0"/>
    <x v="2"/>
  </r>
  <r>
    <s v="LN-00351"/>
    <s v="BRW-0291"/>
    <d v="2024-10-10T00:00:00"/>
    <s v="Home Improvement"/>
    <x v="251"/>
    <n v="60"/>
    <n v="12.42"/>
    <n v="586.13"/>
    <n v="19.899999999999999"/>
    <s v="Current"/>
    <n v="0"/>
    <x v="0"/>
    <n v="32"/>
    <s v="CT"/>
    <s v="Bachelor"/>
    <s v="Full-Time"/>
    <x v="21"/>
    <n v="101722"/>
    <n v="648"/>
    <s v="Rent"/>
    <n v="2"/>
    <n v="1097"/>
    <x v="1"/>
    <x v="2"/>
    <x v="1"/>
    <x v="2"/>
  </r>
  <r>
    <s v="LN-00352"/>
    <s v="BRW-0292"/>
    <d v="2024-10-08T00:00:00"/>
    <s v="Business Loan"/>
    <x v="126"/>
    <n v="36"/>
    <n v="11.36"/>
    <n v="414.66"/>
    <n v="62.4"/>
    <s v="Default"/>
    <n v="65"/>
    <x v="1"/>
    <n v="39"/>
    <s v="MI"/>
    <s v="High School"/>
    <s v="Full-Time"/>
    <x v="18"/>
    <n v="25301"/>
    <n v="609"/>
    <s v="Mortgage"/>
    <n v="2"/>
    <n v="901"/>
    <x v="1"/>
    <x v="0"/>
    <x v="1"/>
    <x v="2"/>
  </r>
  <r>
    <s v="LN-00353"/>
    <s v="BRW-0293"/>
    <d v="2024-12-20T00:00:00"/>
    <s v="Moving"/>
    <x v="225"/>
    <n v="36"/>
    <n v="8.51"/>
    <n v="75.77"/>
    <n v="29.5"/>
    <s v="Current"/>
    <n v="0"/>
    <x v="0"/>
    <n v="49"/>
    <s v="GA"/>
    <s v="Bachelor"/>
    <s v="Self-Employed"/>
    <x v="9"/>
    <n v="40669"/>
    <n v="774"/>
    <s v="Own"/>
    <n v="1"/>
    <n v="923"/>
    <x v="3"/>
    <x v="2"/>
    <x v="0"/>
    <x v="0"/>
  </r>
  <r>
    <s v="LN-00354"/>
    <s v="BRW-0293"/>
    <d v="2024-06-01T00:00:00"/>
    <s v="Wedding"/>
    <x v="142"/>
    <n v="60"/>
    <n v="12.05"/>
    <n v="57.9"/>
    <n v="28.9"/>
    <s v="Paid Off"/>
    <n v="0"/>
    <x v="0"/>
    <n v="49"/>
    <s v="GA"/>
    <s v="Bachelor"/>
    <s v="Self-Employed"/>
    <x v="9"/>
    <n v="40669"/>
    <n v="774"/>
    <s v="Own"/>
    <n v="1"/>
    <n v="923"/>
    <x v="3"/>
    <x v="2"/>
    <x v="0"/>
    <x v="0"/>
  </r>
  <r>
    <s v="LN-00355"/>
    <s v="BRW-0294"/>
    <d v="2025-04-17T00:00:00"/>
    <s v="Business Loan"/>
    <x v="252"/>
    <n v="48"/>
    <n v="10.93"/>
    <n v="1024.72"/>
    <n v="21.3"/>
    <s v="Paid Off"/>
    <n v="0"/>
    <x v="0"/>
    <n v="22"/>
    <s v="NY"/>
    <s v="Bachelor"/>
    <s v="Contract"/>
    <x v="9"/>
    <n v="103644"/>
    <n v="761"/>
    <s v="Own"/>
    <n v="0"/>
    <n v="817"/>
    <x v="3"/>
    <x v="2"/>
    <x v="1"/>
    <x v="2"/>
  </r>
  <r>
    <s v="LN-00356"/>
    <s v="BRW-0295"/>
    <d v="2024-05-22T00:00:00"/>
    <s v="Major Purchase"/>
    <x v="159"/>
    <n v="60"/>
    <n v="8.15"/>
    <n v="189.24"/>
    <n v="38.4"/>
    <s v="Paid Off"/>
    <n v="0"/>
    <x v="0"/>
    <n v="28"/>
    <s v="MN"/>
    <s v="High School"/>
    <s v="Full-Time"/>
    <x v="9"/>
    <n v="32933"/>
    <n v="720"/>
    <s v="Mortgage"/>
    <n v="0"/>
    <n v="865"/>
    <x v="2"/>
    <x v="1"/>
    <x v="1"/>
    <x v="1"/>
  </r>
  <r>
    <s v="LN-00357"/>
    <s v="BRW-0296"/>
    <d v="2024-11-02T00:00:00"/>
    <s v="Education"/>
    <x v="141"/>
    <n v="48"/>
    <n v="13.08"/>
    <n v="534.66"/>
    <n v="49.5"/>
    <s v="Paid Off"/>
    <n v="0"/>
    <x v="0"/>
    <n v="22"/>
    <s v="UT"/>
    <s v="Bachelor"/>
    <s v="Full-Time"/>
    <x v="9"/>
    <n v="63005"/>
    <n v="644"/>
    <s v="Rent"/>
    <n v="1"/>
    <n v="2064"/>
    <x v="1"/>
    <x v="1"/>
    <x v="1"/>
    <x v="2"/>
  </r>
  <r>
    <s v="LN-00358"/>
    <s v="BRW-0297"/>
    <d v="2025-02-04T00:00:00"/>
    <s v="Medical Expenses"/>
    <x v="185"/>
    <n v="60"/>
    <n v="9.3000000000000007"/>
    <n v="1038.94"/>
    <n v="37.5"/>
    <s v="Current"/>
    <n v="0"/>
    <x v="0"/>
    <n v="35"/>
    <s v="AZ"/>
    <s v="High School"/>
    <s v="Full-Time"/>
    <x v="15"/>
    <n v="48886"/>
    <n v="831"/>
    <s v="Mortgage"/>
    <n v="1"/>
    <n v="488"/>
    <x v="3"/>
    <x v="1"/>
    <x v="1"/>
    <x v="0"/>
  </r>
  <r>
    <s v="LN-00359"/>
    <s v="BRW-0297"/>
    <d v="2025-04-07T00:00:00"/>
    <s v="Moving"/>
    <x v="253"/>
    <n v="36"/>
    <n v="9"/>
    <n v="597.83000000000004"/>
    <n v="26.7"/>
    <s v="Current"/>
    <n v="0"/>
    <x v="0"/>
    <n v="35"/>
    <s v="AZ"/>
    <s v="High School"/>
    <s v="Full-Time"/>
    <x v="15"/>
    <n v="48886"/>
    <n v="831"/>
    <s v="Mortgage"/>
    <n v="1"/>
    <n v="488"/>
    <x v="3"/>
    <x v="2"/>
    <x v="1"/>
    <x v="0"/>
  </r>
  <r>
    <s v="LN-00360"/>
    <s v="BRW-0298"/>
    <d v="2024-07-22T00:00:00"/>
    <s v="Medical Expenses"/>
    <x v="254"/>
    <n v="48"/>
    <n v="6.03"/>
    <n v="446.48"/>
    <n v="54.1"/>
    <s v="Default"/>
    <n v="128"/>
    <x v="1"/>
    <n v="39"/>
    <s v="SC"/>
    <s v="Bachelor"/>
    <s v="Full-Time"/>
    <x v="11"/>
    <n v="78943"/>
    <n v="846"/>
    <s v="Rent"/>
    <n v="0"/>
    <n v="3115"/>
    <x v="3"/>
    <x v="0"/>
    <x v="1"/>
    <x v="0"/>
  </r>
  <r>
    <s v="LN-00361"/>
    <s v="BRW-0299"/>
    <d v="2025-06-14T00:00:00"/>
    <s v="Business Loan"/>
    <x v="203"/>
    <n v="48"/>
    <n v="8.1999999999999993"/>
    <n v="198.51"/>
    <n v="64.099999999999994"/>
    <s v="Default"/>
    <n v="113"/>
    <x v="1"/>
    <n v="41"/>
    <s v="KY"/>
    <s v="Associate"/>
    <s v="Part-Time"/>
    <x v="11"/>
    <n v="20963"/>
    <n v="725"/>
    <s v="Mortgage"/>
    <n v="3"/>
    <n v="921"/>
    <x v="2"/>
    <x v="0"/>
    <x v="1"/>
    <x v="2"/>
  </r>
  <r>
    <s v="LN-00362"/>
    <s v="BRW-0300"/>
    <d v="2025-05-04T00:00:00"/>
    <s v="Major Purchase"/>
    <x v="255"/>
    <n v="24"/>
    <n v="13.08"/>
    <n v="2355.1799999999998"/>
    <n v="86.4"/>
    <s v="Paid Off"/>
    <n v="0"/>
    <x v="0"/>
    <n v="53"/>
    <s v="CA"/>
    <s v="Bachelor"/>
    <s v="Full-Time"/>
    <x v="27"/>
    <n v="81309"/>
    <n v="576"/>
    <s v="Rent"/>
    <n v="4"/>
    <n v="3502"/>
    <x v="0"/>
    <x v="3"/>
    <x v="1"/>
    <x v="1"/>
  </r>
  <r>
    <s v="LN-00363"/>
    <s v="BRW-0300"/>
    <d v="2025-05-01T00:00:00"/>
    <s v="Business Loan"/>
    <x v="3"/>
    <n v="48"/>
    <n v="14.49"/>
    <n v="253.67"/>
    <n v="55.4"/>
    <s v="Default"/>
    <n v="177"/>
    <x v="1"/>
    <n v="53"/>
    <s v="CA"/>
    <s v="Bachelor"/>
    <s v="Full-Time"/>
    <x v="27"/>
    <n v="81309"/>
    <n v="576"/>
    <s v="Rent"/>
    <n v="4"/>
    <n v="3502"/>
    <x v="0"/>
    <x v="0"/>
    <x v="1"/>
    <x v="2"/>
  </r>
  <r>
    <s v="LN-00364"/>
    <s v="BRW-0301"/>
    <d v="2024-01-08T00:00:00"/>
    <s v="Wedding"/>
    <x v="206"/>
    <n v="48"/>
    <n v="7.81"/>
    <n v="651.88"/>
    <n v="55.1"/>
    <s v="Paid Off"/>
    <n v="0"/>
    <x v="0"/>
    <n v="30"/>
    <s v="TN"/>
    <s v="Bachelor"/>
    <s v="Contract"/>
    <x v="16"/>
    <n v="67451"/>
    <n v="814"/>
    <s v="Own"/>
    <n v="4"/>
    <n v="2446"/>
    <x v="3"/>
    <x v="0"/>
    <x v="1"/>
    <x v="0"/>
  </r>
  <r>
    <s v="LN-00365"/>
    <s v="BRW-0301"/>
    <d v="2025-04-16T00:00:00"/>
    <s v="Wedding"/>
    <x v="82"/>
    <n v="60"/>
    <n v="10.83"/>
    <n v="589.09"/>
    <n v="54"/>
    <s v="Current"/>
    <n v="0"/>
    <x v="0"/>
    <n v="30"/>
    <s v="TN"/>
    <s v="Bachelor"/>
    <s v="Contract"/>
    <x v="16"/>
    <n v="67451"/>
    <n v="814"/>
    <s v="Own"/>
    <n v="4"/>
    <n v="2446"/>
    <x v="3"/>
    <x v="0"/>
    <x v="1"/>
    <x v="0"/>
  </r>
  <r>
    <s v="LN-00366"/>
    <s v="BRW-0302"/>
    <d v="2024-06-28T00:00:00"/>
    <s v="Vacation"/>
    <x v="191"/>
    <n v="36"/>
    <n v="12.62"/>
    <n v="1109.22"/>
    <n v="67.8"/>
    <s v="Default"/>
    <n v="75"/>
    <x v="1"/>
    <n v="23"/>
    <s v="CO"/>
    <s v="Bachelor"/>
    <s v="Full-Time"/>
    <x v="20"/>
    <n v="54364"/>
    <n v="560"/>
    <s v="Mortgage"/>
    <n v="2"/>
    <n v="1964"/>
    <x v="0"/>
    <x v="0"/>
    <x v="1"/>
    <x v="0"/>
  </r>
  <r>
    <s v="LN-00367"/>
    <s v="BRW-0303"/>
    <d v="2024-04-07T00:00:00"/>
    <s v="Major Purchase"/>
    <x v="133"/>
    <n v="24"/>
    <n v="9.33"/>
    <n v="2094.7199999999998"/>
    <n v="76"/>
    <s v="Late"/>
    <n v="15"/>
    <x v="0"/>
    <n v="49"/>
    <s v="MI"/>
    <s v="Master"/>
    <s v="Full-Time"/>
    <x v="1"/>
    <n v="100637"/>
    <n v="850"/>
    <s v="Mortgage"/>
    <n v="0"/>
    <n v="4280"/>
    <x v="3"/>
    <x v="3"/>
    <x v="1"/>
    <x v="1"/>
  </r>
  <r>
    <s v="LN-00368"/>
    <s v="BRW-0303"/>
    <d v="2024-03-09T00:00:00"/>
    <s v="Medical Expenses"/>
    <x v="184"/>
    <n v="36"/>
    <n v="9.17"/>
    <n v="1023.31"/>
    <n v="63.2"/>
    <s v="Current"/>
    <n v="0"/>
    <x v="0"/>
    <n v="49"/>
    <s v="MI"/>
    <s v="Master"/>
    <s v="Full-Time"/>
    <x v="1"/>
    <n v="100637"/>
    <n v="850"/>
    <s v="Mortgage"/>
    <n v="0"/>
    <n v="4280"/>
    <x v="3"/>
    <x v="0"/>
    <x v="1"/>
    <x v="0"/>
  </r>
  <r>
    <s v="LN-00369"/>
    <s v="BRW-0304"/>
    <d v="2024-11-29T00:00:00"/>
    <s v="Moving"/>
    <x v="256"/>
    <n v="12"/>
    <n v="8.36"/>
    <n v="1272.46"/>
    <n v="66.099999999999994"/>
    <s v="Current"/>
    <n v="0"/>
    <x v="0"/>
    <n v="31"/>
    <s v="AZ"/>
    <s v="Bachelor"/>
    <s v="Full-Time"/>
    <x v="18"/>
    <n v="81067"/>
    <n v="850"/>
    <s v="Mortgage"/>
    <n v="2"/>
    <n v="3196"/>
    <x v="3"/>
    <x v="0"/>
    <x v="1"/>
    <x v="0"/>
  </r>
  <r>
    <s v="LN-00370"/>
    <s v="BRW-0305"/>
    <d v="2025-02-12T00:00:00"/>
    <s v="Debt Consolidation"/>
    <x v="195"/>
    <n v="48"/>
    <n v="7.94"/>
    <n v="151.19"/>
    <n v="50.7"/>
    <s v="Current"/>
    <n v="0"/>
    <x v="0"/>
    <n v="25"/>
    <s v="MN"/>
    <s v="Associate"/>
    <s v="Retired"/>
    <x v="1"/>
    <n v="20854"/>
    <n v="838"/>
    <s v="Own"/>
    <n v="2"/>
    <n v="730"/>
    <x v="3"/>
    <x v="0"/>
    <x v="2"/>
    <x v="1"/>
  </r>
  <r>
    <s v="LN-00371"/>
    <s v="BRW-0306"/>
    <d v="2024-03-25T00:00:00"/>
    <s v="Medical Expenses"/>
    <x v="257"/>
    <n v="48"/>
    <n v="9.32"/>
    <n v="307.95999999999998"/>
    <n v="34.200000000000003"/>
    <s v="Paid Off"/>
    <n v="0"/>
    <x v="0"/>
    <n v="29"/>
    <s v="KY"/>
    <s v="High School"/>
    <s v="Full-Time"/>
    <x v="6"/>
    <n v="22799"/>
    <n v="779"/>
    <s v="Mortgage"/>
    <n v="3"/>
    <n v="341"/>
    <x v="3"/>
    <x v="2"/>
    <x v="1"/>
    <x v="0"/>
  </r>
  <r>
    <s v="LN-00372"/>
    <s v="BRW-0307"/>
    <d v="2024-06-30T00:00:00"/>
    <s v="Auto Loan"/>
    <x v="241"/>
    <n v="12"/>
    <n v="13.28"/>
    <n v="787.15"/>
    <n v="48.2"/>
    <s v="Default"/>
    <n v="166"/>
    <x v="1"/>
    <n v="45"/>
    <s v="NJ"/>
    <s v="High School"/>
    <s v="Self-Employed"/>
    <x v="31"/>
    <n v="31860"/>
    <n v="585"/>
    <s v="Rent"/>
    <n v="3"/>
    <n v="493"/>
    <x v="0"/>
    <x v="1"/>
    <x v="0"/>
    <x v="1"/>
  </r>
  <r>
    <s v="LN-00373"/>
    <s v="BRW-0308"/>
    <d v="2025-01-01T00:00:00"/>
    <s v="Medical Expenses"/>
    <x v="47"/>
    <n v="36"/>
    <n v="7.78"/>
    <n v="343.58"/>
    <n v="45.1"/>
    <s v="Paid Off"/>
    <n v="0"/>
    <x v="0"/>
    <n v="26"/>
    <s v="TX"/>
    <s v="Associate"/>
    <s v="Retired"/>
    <x v="20"/>
    <n v="35035"/>
    <n v="779"/>
    <s v="Mortgage"/>
    <n v="1"/>
    <n v="973"/>
    <x v="3"/>
    <x v="1"/>
    <x v="2"/>
    <x v="0"/>
  </r>
  <r>
    <s v="LN-00374"/>
    <s v="BRW-0309"/>
    <d v="2024-04-15T00:00:00"/>
    <s v="Vacation"/>
    <x v="258"/>
    <n v="60"/>
    <n v="13.39"/>
    <n v="968.63"/>
    <n v="69.7"/>
    <s v="Default"/>
    <n v="108"/>
    <x v="1"/>
    <n v="45"/>
    <s v="CA"/>
    <s v="High School"/>
    <s v="Self-Employed"/>
    <x v="23"/>
    <n v="53878"/>
    <n v="589"/>
    <s v="Rent"/>
    <n v="0"/>
    <n v="2161"/>
    <x v="0"/>
    <x v="0"/>
    <x v="0"/>
    <x v="0"/>
  </r>
  <r>
    <s v="LN-00375"/>
    <s v="BRW-0310"/>
    <d v="2025-01-18T00:00:00"/>
    <s v="Wedding"/>
    <x v="102"/>
    <n v="24"/>
    <n v="14.29"/>
    <n v="645.21"/>
    <n v="51.9"/>
    <s v="Current"/>
    <n v="0"/>
    <x v="0"/>
    <n v="37"/>
    <s v="UT"/>
    <s v="High School"/>
    <s v="Full-Time"/>
    <x v="18"/>
    <n v="54791"/>
    <n v="621"/>
    <s v="Mortgage"/>
    <n v="2"/>
    <n v="1725"/>
    <x v="1"/>
    <x v="0"/>
    <x v="1"/>
    <x v="0"/>
  </r>
  <r>
    <s v="LN-00376"/>
    <s v="BRW-0311"/>
    <d v="2024-04-08T00:00:00"/>
    <s v="Debt Consolidation"/>
    <x v="186"/>
    <n v="12"/>
    <n v="9.89"/>
    <n v="887.43"/>
    <n v="67.099999999999994"/>
    <s v="Current"/>
    <n v="0"/>
    <x v="0"/>
    <n v="36"/>
    <s v="FL"/>
    <s v="Associate"/>
    <s v="Full-Time"/>
    <x v="9"/>
    <n v="62677"/>
    <n v="673"/>
    <s v="Mortgage"/>
    <n v="1"/>
    <n v="2616"/>
    <x v="4"/>
    <x v="0"/>
    <x v="1"/>
    <x v="1"/>
  </r>
  <r>
    <s v="LN-00377"/>
    <s v="BRW-0312"/>
    <d v="2024-07-13T00:00:00"/>
    <s v="Major Purchase"/>
    <x v="259"/>
    <n v="36"/>
    <n v="10.64"/>
    <n v="778.39"/>
    <n v="76.8"/>
    <s v="Late"/>
    <n v="15"/>
    <x v="0"/>
    <n v="33"/>
    <s v="OK"/>
    <s v="Associate"/>
    <s v="Full-Time"/>
    <x v="18"/>
    <n v="31521"/>
    <n v="730"/>
    <s v="Rent"/>
    <n v="0"/>
    <n v="1240"/>
    <x v="2"/>
    <x v="3"/>
    <x v="1"/>
    <x v="1"/>
  </r>
  <r>
    <s v="LN-00378"/>
    <s v="BRW-0313"/>
    <d v="2024-11-19T00:00:00"/>
    <s v="Business Loan"/>
    <x v="260"/>
    <n v="24"/>
    <n v="8.84"/>
    <n v="378.57"/>
    <n v="41"/>
    <s v="Default"/>
    <n v="84"/>
    <x v="1"/>
    <n v="42"/>
    <s v="AL"/>
    <s v="High School"/>
    <s v="Full-Time"/>
    <x v="4"/>
    <n v="35385"/>
    <n v="674"/>
    <s v="Rent"/>
    <n v="2"/>
    <n v="831"/>
    <x v="4"/>
    <x v="1"/>
    <x v="1"/>
    <x v="2"/>
  </r>
  <r>
    <s v="LN-00379"/>
    <s v="BRW-0314"/>
    <d v="2024-03-09T00:00:00"/>
    <s v="Home Improvement"/>
    <x v="73"/>
    <n v="60"/>
    <n v="8.19"/>
    <n v="313.66000000000003"/>
    <n v="20.9"/>
    <s v="Paid Off"/>
    <n v="0"/>
    <x v="0"/>
    <n v="59"/>
    <s v="UT"/>
    <s v="Doctorate"/>
    <s v="Retired"/>
    <x v="8"/>
    <n v="88548"/>
    <n v="819"/>
    <s v="Own"/>
    <n v="1"/>
    <n v="1228"/>
    <x v="3"/>
    <x v="2"/>
    <x v="2"/>
    <x v="2"/>
  </r>
  <r>
    <s v="LN-00380"/>
    <s v="BRW-0315"/>
    <d v="2024-04-07T00:00:00"/>
    <s v="Home Improvement"/>
    <x v="261"/>
    <n v="60"/>
    <n v="9.17"/>
    <n v="794.04"/>
    <n v="64.5"/>
    <s v="Late"/>
    <n v="30"/>
    <x v="0"/>
    <n v="44"/>
    <s v="WA"/>
    <s v="Bachelor"/>
    <s v="Self-Employed"/>
    <x v="10"/>
    <n v="41212"/>
    <n v="701"/>
    <s v="Rent"/>
    <n v="3"/>
    <n v="1420"/>
    <x v="2"/>
    <x v="0"/>
    <x v="0"/>
    <x v="2"/>
  </r>
  <r>
    <s v="LN-00381"/>
    <s v="BRW-0316"/>
    <d v="2025-05-08T00:00:00"/>
    <s v="Medical Expenses"/>
    <x v="23"/>
    <n v="36"/>
    <n v="15.64"/>
    <n v="479.22"/>
    <n v="36.200000000000003"/>
    <s v="Default"/>
    <n v="34"/>
    <x v="1"/>
    <n v="28"/>
    <s v="NY"/>
    <s v="Associate"/>
    <s v="Retired"/>
    <x v="9"/>
    <n v="29277"/>
    <n v="555"/>
    <s v="Rent"/>
    <n v="0"/>
    <n v="404"/>
    <x v="0"/>
    <x v="1"/>
    <x v="2"/>
    <x v="0"/>
  </r>
  <r>
    <s v="LN-00382"/>
    <s v="BRW-0317"/>
    <d v="2024-01-14T00:00:00"/>
    <s v="Wedding"/>
    <x v="262"/>
    <n v="24"/>
    <n v="12.88"/>
    <n v="1258.3699999999999"/>
    <n v="30.3"/>
    <s v="Default"/>
    <n v="61"/>
    <x v="1"/>
    <n v="55"/>
    <s v="CO"/>
    <s v="Bachelor"/>
    <s v="Contract"/>
    <x v="0"/>
    <n v="69849"/>
    <n v="578"/>
    <s v="Mortgage"/>
    <n v="3"/>
    <n v="508"/>
    <x v="0"/>
    <x v="2"/>
    <x v="1"/>
    <x v="0"/>
  </r>
  <r>
    <s v="LN-00383"/>
    <s v="BRW-0318"/>
    <d v="2025-05-25T00:00:00"/>
    <s v="Major Purchase"/>
    <x v="263"/>
    <n v="12"/>
    <n v="9.4499999999999993"/>
    <n v="1840.87"/>
    <n v="121.8"/>
    <s v="Current"/>
    <n v="0"/>
    <x v="0"/>
    <n v="58"/>
    <s v="UT"/>
    <s v="High School"/>
    <s v="Self-Employed"/>
    <x v="19"/>
    <n v="27000"/>
    <n v="674"/>
    <s v="Rent"/>
    <n v="3"/>
    <n v="900"/>
    <x v="4"/>
    <x v="3"/>
    <x v="0"/>
    <x v="1"/>
  </r>
  <r>
    <s v="LN-00384"/>
    <s v="BRW-0319"/>
    <d v="2024-11-21T00:00:00"/>
    <s v="Wedding"/>
    <x v="214"/>
    <n v="36"/>
    <n v="10.199999999999999"/>
    <n v="737.83"/>
    <n v="37.200000000000003"/>
    <s v="Current"/>
    <n v="0"/>
    <x v="0"/>
    <n v="42"/>
    <s v="MD"/>
    <s v="Associate"/>
    <s v="Full-Time"/>
    <x v="1"/>
    <n v="32850"/>
    <n v="628"/>
    <s v="Rent"/>
    <n v="0"/>
    <n v="281"/>
    <x v="1"/>
    <x v="1"/>
    <x v="1"/>
    <x v="0"/>
  </r>
  <r>
    <s v="LN-00385"/>
    <s v="BRW-0320"/>
    <d v="2024-07-29T00:00:00"/>
    <s v="Auto Loan"/>
    <x v="264"/>
    <n v="36"/>
    <n v="11.03"/>
    <n v="425.79"/>
    <n v="16.3"/>
    <s v="Late"/>
    <n v="15"/>
    <x v="0"/>
    <n v="50"/>
    <s v="NC"/>
    <s v="Bachelor"/>
    <s v="Full-Time"/>
    <x v="7"/>
    <n v="74791"/>
    <n v="641"/>
    <s v="Mortgage"/>
    <n v="3"/>
    <n v="593"/>
    <x v="1"/>
    <x v="2"/>
    <x v="1"/>
    <x v="1"/>
  </r>
  <r>
    <s v="LN-00386"/>
    <s v="BRW-0320"/>
    <d v="2025-01-25T00:00:00"/>
    <s v="Business Loan"/>
    <x v="265"/>
    <n v="24"/>
    <n v="12.36"/>
    <n v="1672.36"/>
    <n v="36.299999999999997"/>
    <s v="Late"/>
    <n v="0"/>
    <x v="0"/>
    <n v="50"/>
    <s v="NC"/>
    <s v="Bachelor"/>
    <s v="Full-Time"/>
    <x v="7"/>
    <n v="74791"/>
    <n v="641"/>
    <s v="Mortgage"/>
    <n v="3"/>
    <n v="593"/>
    <x v="1"/>
    <x v="1"/>
    <x v="1"/>
    <x v="2"/>
  </r>
  <r>
    <s v="LN-00387"/>
    <s v="BRW-0321"/>
    <d v="2024-05-08T00:00:00"/>
    <s v="Vacation"/>
    <x v="72"/>
    <n v="24"/>
    <n v="14.02"/>
    <n v="278.52999999999997"/>
    <n v="28.6"/>
    <s v="Default"/>
    <n v="170"/>
    <x v="1"/>
    <n v="65"/>
    <s v="SC"/>
    <s v="Associate"/>
    <s v="Self-Employed"/>
    <x v="28"/>
    <n v="57272"/>
    <n v="640"/>
    <s v="Own"/>
    <n v="0"/>
    <n v="1087"/>
    <x v="1"/>
    <x v="2"/>
    <x v="0"/>
    <x v="0"/>
  </r>
  <r>
    <s v="LN-00388"/>
    <s v="BRW-0322"/>
    <d v="2024-07-21T00:00:00"/>
    <s v="Business Loan"/>
    <x v="123"/>
    <n v="48"/>
    <n v="11.24"/>
    <n v="109.04"/>
    <n v="44.9"/>
    <s v="Default"/>
    <n v="75"/>
    <x v="1"/>
    <n v="54"/>
    <s v="OK"/>
    <s v="High School"/>
    <s v="Full-Time"/>
    <x v="18"/>
    <n v="51267"/>
    <n v="619"/>
    <s v="Rent"/>
    <n v="1"/>
    <n v="1811"/>
    <x v="1"/>
    <x v="1"/>
    <x v="1"/>
    <x v="2"/>
  </r>
  <r>
    <s v="LN-00389"/>
    <s v="BRW-0322"/>
    <d v="2024-07-25T00:00:00"/>
    <s v="Wedding"/>
    <x v="117"/>
    <n v="48"/>
    <n v="14.52"/>
    <n v="281.39999999999998"/>
    <n v="49"/>
    <s v="Default"/>
    <n v="153"/>
    <x v="1"/>
    <n v="54"/>
    <s v="OK"/>
    <s v="High School"/>
    <s v="Full-Time"/>
    <x v="18"/>
    <n v="51267"/>
    <n v="619"/>
    <s v="Rent"/>
    <n v="1"/>
    <n v="1811"/>
    <x v="1"/>
    <x v="1"/>
    <x v="1"/>
    <x v="0"/>
  </r>
  <r>
    <s v="LN-00390"/>
    <s v="BRW-0323"/>
    <d v="2025-03-19T00:00:00"/>
    <s v="Education"/>
    <x v="79"/>
    <n v="48"/>
    <n v="12.25"/>
    <n v="216.95"/>
    <n v="16.7"/>
    <s v="Paid Off"/>
    <n v="0"/>
    <x v="0"/>
    <n v="37"/>
    <s v="LA"/>
    <s v="High School"/>
    <s v="Full-Time"/>
    <x v="10"/>
    <n v="50342"/>
    <n v="592"/>
    <s v="Own"/>
    <n v="4"/>
    <n v="483"/>
    <x v="0"/>
    <x v="2"/>
    <x v="1"/>
    <x v="2"/>
  </r>
  <r>
    <s v="LN-00391"/>
    <s v="BRW-0324"/>
    <d v="2024-06-05T00:00:00"/>
    <s v="Major Purchase"/>
    <x v="86"/>
    <n v="36"/>
    <n v="9.18"/>
    <n v="156.22999999999999"/>
    <n v="59"/>
    <s v="Current"/>
    <n v="0"/>
    <x v="0"/>
    <n v="47"/>
    <s v="OR"/>
    <s v="Bachelor"/>
    <s v="Part-Time"/>
    <x v="4"/>
    <n v="44951"/>
    <n v="828"/>
    <s v="Mortgage"/>
    <n v="0"/>
    <n v="2054"/>
    <x v="3"/>
    <x v="0"/>
    <x v="1"/>
    <x v="1"/>
  </r>
  <r>
    <s v="LN-00392"/>
    <s v="BRW-0325"/>
    <d v="2025-04-25T00:00:00"/>
    <s v="Auto Loan"/>
    <x v="198"/>
    <n v="12"/>
    <n v="9.93"/>
    <n v="2689.23"/>
    <n v="100.4"/>
    <s v="Default"/>
    <n v="78"/>
    <x v="1"/>
    <n v="34"/>
    <s v="MA"/>
    <s v="Master"/>
    <s v="Full-Time"/>
    <x v="18"/>
    <n v="65650"/>
    <n v="704"/>
    <s v="Own"/>
    <n v="0"/>
    <n v="2801"/>
    <x v="2"/>
    <x v="3"/>
    <x v="1"/>
    <x v="1"/>
  </r>
  <r>
    <s v="LN-00393"/>
    <s v="BRW-0326"/>
    <d v="2025-02-08T00:00:00"/>
    <s v="Moving"/>
    <x v="266"/>
    <n v="48"/>
    <n v="12.16"/>
    <n v="528.25"/>
    <n v="30.1"/>
    <s v="Current"/>
    <n v="0"/>
    <x v="0"/>
    <n v="49"/>
    <s v="UT"/>
    <s v="Master"/>
    <s v="Full-Time"/>
    <x v="6"/>
    <n v="57129"/>
    <n v="748"/>
    <s v="Mortgage"/>
    <n v="0"/>
    <n v="904"/>
    <x v="2"/>
    <x v="2"/>
    <x v="1"/>
    <x v="0"/>
  </r>
  <r>
    <s v="LN-00394"/>
    <s v="BRW-0327"/>
    <d v="2024-06-15T00:00:00"/>
    <s v="Wedding"/>
    <x v="201"/>
    <n v="12"/>
    <n v="10.74"/>
    <n v="538.39"/>
    <n v="47.2"/>
    <s v="Default"/>
    <n v="141"/>
    <x v="1"/>
    <n v="31"/>
    <s v="MO"/>
    <s v="High School"/>
    <s v="Part-Time"/>
    <x v="23"/>
    <n v="17078"/>
    <n v="671"/>
    <s v="Mortgage"/>
    <n v="1"/>
    <n v="133"/>
    <x v="4"/>
    <x v="1"/>
    <x v="1"/>
    <x v="0"/>
  </r>
  <r>
    <s v="LN-00395"/>
    <s v="BRW-0328"/>
    <d v="2025-01-29T00:00:00"/>
    <s v="Education"/>
    <x v="267"/>
    <n v="36"/>
    <n v="10.17"/>
    <n v="805.44"/>
    <n v="24"/>
    <s v="Current"/>
    <n v="0"/>
    <x v="0"/>
    <n v="46"/>
    <s v="KY"/>
    <s v="High School"/>
    <s v="Full-Time"/>
    <x v="23"/>
    <n v="53539"/>
    <n v="799"/>
    <s v="Mortgage"/>
    <n v="1"/>
    <n v="266"/>
    <x v="3"/>
    <x v="2"/>
    <x v="1"/>
    <x v="2"/>
  </r>
  <r>
    <s v="LN-00396"/>
    <s v="BRW-0328"/>
    <d v="2024-05-31T00:00:00"/>
    <s v="Debt Consolidation"/>
    <x v="144"/>
    <n v="12"/>
    <n v="10.17"/>
    <n v="1698.3"/>
    <n v="44"/>
    <s v="Late"/>
    <n v="0"/>
    <x v="0"/>
    <n v="46"/>
    <s v="KY"/>
    <s v="High School"/>
    <s v="Full-Time"/>
    <x v="23"/>
    <n v="53539"/>
    <n v="799"/>
    <s v="Mortgage"/>
    <n v="1"/>
    <n v="266"/>
    <x v="3"/>
    <x v="1"/>
    <x v="1"/>
    <x v="1"/>
  </r>
  <r>
    <s v="LN-00397"/>
    <s v="BRW-0329"/>
    <d v="2024-04-04T00:00:00"/>
    <s v="Wedding"/>
    <x v="268"/>
    <n v="24"/>
    <n v="6.85"/>
    <n v="1511.02"/>
    <n v="36.4"/>
    <s v="Late"/>
    <n v="15"/>
    <x v="0"/>
    <n v="46"/>
    <s v="IN"/>
    <s v="Master"/>
    <s v="Full-Time"/>
    <x v="21"/>
    <n v="101319"/>
    <n v="793"/>
    <s v="Rent"/>
    <n v="1"/>
    <n v="1563"/>
    <x v="3"/>
    <x v="1"/>
    <x v="1"/>
    <x v="0"/>
  </r>
  <r>
    <s v="LN-00398"/>
    <s v="BRW-0330"/>
    <d v="2025-03-13T00:00:00"/>
    <s v="Home Improvement"/>
    <x v="269"/>
    <n v="48"/>
    <n v="9.5299999999999994"/>
    <n v="279.02999999999997"/>
    <n v="48.1"/>
    <s v="Default"/>
    <n v="107"/>
    <x v="1"/>
    <n v="23"/>
    <s v="TN"/>
    <s v="Associate"/>
    <s v="Full-Time"/>
    <x v="10"/>
    <n v="70784"/>
    <n v="678"/>
    <s v="Rent"/>
    <n v="1"/>
    <n v="2556"/>
    <x v="4"/>
    <x v="1"/>
    <x v="1"/>
    <x v="2"/>
  </r>
  <r>
    <s v="LN-00399"/>
    <s v="BRW-0331"/>
    <d v="2024-04-01T00:00:00"/>
    <s v="Moving"/>
    <x v="139"/>
    <n v="36"/>
    <n v="12.24"/>
    <n v="679.91"/>
    <n v="60.2"/>
    <s v="Default"/>
    <n v="176"/>
    <x v="1"/>
    <n v="36"/>
    <s v="GA"/>
    <s v="Doctorate"/>
    <s v="Full-Time"/>
    <x v="18"/>
    <n v="135142"/>
    <n v="686"/>
    <s v="Rent"/>
    <n v="2"/>
    <n v="6096"/>
    <x v="4"/>
    <x v="0"/>
    <x v="1"/>
    <x v="0"/>
  </r>
  <r>
    <s v="LN-00400"/>
    <s v="BRW-0332"/>
    <d v="2025-02-11T00:00:00"/>
    <s v="Education"/>
    <x v="132"/>
    <n v="24"/>
    <n v="14.15"/>
    <n v="716.45"/>
    <n v="32"/>
    <s v="Current"/>
    <n v="0"/>
    <x v="0"/>
    <n v="46"/>
    <s v="KY"/>
    <s v="Bachelor"/>
    <s v="Contract"/>
    <x v="23"/>
    <n v="94525"/>
    <n v="630"/>
    <s v="Mortgage"/>
    <n v="2"/>
    <n v="1806"/>
    <x v="1"/>
    <x v="2"/>
    <x v="1"/>
    <x v="2"/>
  </r>
  <r>
    <s v="LN-00401"/>
    <s v="BRW-0333"/>
    <d v="2024-10-22T00:00:00"/>
    <s v="Home Improvement"/>
    <x v="83"/>
    <n v="60"/>
    <n v="8.4499999999999993"/>
    <n v="317.63"/>
    <n v="52.3"/>
    <s v="Current"/>
    <n v="0"/>
    <x v="0"/>
    <n v="59"/>
    <s v="OH"/>
    <s v="High School"/>
    <s v="Self-Employed"/>
    <x v="11"/>
    <n v="55754"/>
    <n v="818"/>
    <s v="Mortgage"/>
    <n v="3"/>
    <n v="2114"/>
    <x v="3"/>
    <x v="0"/>
    <x v="0"/>
    <x v="2"/>
  </r>
  <r>
    <s v="LN-00402"/>
    <s v="BRW-0334"/>
    <d v="2024-08-05T00:00:00"/>
    <s v="Business Loan"/>
    <x v="250"/>
    <n v="12"/>
    <n v="12.95"/>
    <n v="1794.81"/>
    <n v="55.1"/>
    <s v="Default"/>
    <n v="45"/>
    <x v="1"/>
    <n v="53"/>
    <s v="CA"/>
    <s v="Bachelor"/>
    <s v="Full-Time"/>
    <x v="7"/>
    <n v="43022"/>
    <n v="558"/>
    <s v="Mortgage"/>
    <n v="1"/>
    <n v="180"/>
    <x v="0"/>
    <x v="0"/>
    <x v="1"/>
    <x v="2"/>
  </r>
  <r>
    <s v="LN-00403"/>
    <s v="BRW-0335"/>
    <d v="2024-04-21T00:00:00"/>
    <s v="Business Loan"/>
    <x v="233"/>
    <n v="48"/>
    <n v="10.54"/>
    <n v="889.11"/>
    <n v="29.1"/>
    <s v="Current"/>
    <n v="0"/>
    <x v="0"/>
    <n v="61"/>
    <s v="MD"/>
    <s v="Associate"/>
    <s v="Full-Time"/>
    <x v="20"/>
    <n v="62522"/>
    <n v="700"/>
    <s v="Own"/>
    <n v="2"/>
    <n v="629"/>
    <x v="2"/>
    <x v="2"/>
    <x v="1"/>
    <x v="2"/>
  </r>
  <r>
    <s v="LN-00404"/>
    <s v="BRW-0336"/>
    <d v="2024-04-13T00:00:00"/>
    <s v="Auto Loan"/>
    <x v="270"/>
    <n v="24"/>
    <n v="10.039999999999999"/>
    <n v="156.96"/>
    <n v="13.2"/>
    <s v="Default"/>
    <n v="98"/>
    <x v="1"/>
    <n v="29"/>
    <s v="NJ"/>
    <s v="Master"/>
    <s v="Contract"/>
    <x v="0"/>
    <n v="137015"/>
    <n v="741"/>
    <s v="Mortgage"/>
    <n v="1"/>
    <n v="1349"/>
    <x v="2"/>
    <x v="2"/>
    <x v="1"/>
    <x v="1"/>
  </r>
  <r>
    <s v="LN-00405"/>
    <s v="BRW-0337"/>
    <d v="2025-06-18T00:00:00"/>
    <s v="Debt Consolidation"/>
    <x v="271"/>
    <n v="12"/>
    <n v="7.25"/>
    <n v="3457.02"/>
    <n v="77.599999999999994"/>
    <s v="Current"/>
    <n v="0"/>
    <x v="0"/>
    <n v="32"/>
    <s v="SC"/>
    <s v="Master"/>
    <s v="Full-Time"/>
    <x v="16"/>
    <n v="109449"/>
    <n v="794"/>
    <s v="Mortgage"/>
    <n v="4"/>
    <n v="3618"/>
    <x v="3"/>
    <x v="3"/>
    <x v="1"/>
    <x v="1"/>
  </r>
  <r>
    <s v="LN-00406"/>
    <s v="BRW-0338"/>
    <d v="2024-12-10T00:00:00"/>
    <s v="Auto Loan"/>
    <x v="169"/>
    <n v="36"/>
    <n v="12.46"/>
    <n v="825.83"/>
    <n v="23.3"/>
    <s v="Late"/>
    <n v="15"/>
    <x v="0"/>
    <n v="61"/>
    <s v="SC"/>
    <s v="Master"/>
    <s v="Full-Time"/>
    <x v="31"/>
    <n v="105131"/>
    <n v="634"/>
    <s v="Mortgage"/>
    <n v="0"/>
    <n v="1216"/>
    <x v="1"/>
    <x v="2"/>
    <x v="1"/>
    <x v="1"/>
  </r>
  <r>
    <s v="LN-00407"/>
    <s v="BRW-0338"/>
    <d v="2024-12-30T00:00:00"/>
    <s v="Business Loan"/>
    <x v="272"/>
    <n v="48"/>
    <n v="12.49"/>
    <n v="900.89"/>
    <n v="24.2"/>
    <s v="Current"/>
    <n v="0"/>
    <x v="0"/>
    <n v="61"/>
    <s v="SC"/>
    <s v="Master"/>
    <s v="Full-Time"/>
    <x v="31"/>
    <n v="105131"/>
    <n v="634"/>
    <s v="Mortgage"/>
    <n v="0"/>
    <n v="1216"/>
    <x v="1"/>
    <x v="2"/>
    <x v="1"/>
    <x v="2"/>
  </r>
  <r>
    <s v="LN-00408"/>
    <s v="BRW-0339"/>
    <d v="2024-05-05T00:00:00"/>
    <s v="Major Purchase"/>
    <x v="273"/>
    <n v="24"/>
    <n v="6.46"/>
    <n v="1985.96"/>
    <n v="98.4"/>
    <s v="Late"/>
    <n v="0"/>
    <x v="0"/>
    <n v="22"/>
    <s v="NJ"/>
    <s v="Master"/>
    <s v="Retired"/>
    <x v="10"/>
    <n v="52919"/>
    <n v="820"/>
    <s v="Own"/>
    <n v="3"/>
    <n v="2353"/>
    <x v="3"/>
    <x v="3"/>
    <x v="2"/>
    <x v="1"/>
  </r>
  <r>
    <s v="LN-00409"/>
    <s v="BRW-0339"/>
    <d v="2024-07-11T00:00:00"/>
    <s v="Business Loan"/>
    <x v="134"/>
    <n v="48"/>
    <n v="8.91"/>
    <n v="621.05999999999995"/>
    <n v="67.400000000000006"/>
    <s v="Default"/>
    <n v="112"/>
    <x v="1"/>
    <n v="22"/>
    <s v="NJ"/>
    <s v="Master"/>
    <s v="Retired"/>
    <x v="10"/>
    <n v="52919"/>
    <n v="820"/>
    <s v="Own"/>
    <n v="3"/>
    <n v="2353"/>
    <x v="3"/>
    <x v="0"/>
    <x v="2"/>
    <x v="2"/>
  </r>
  <r>
    <s v="LN-00410"/>
    <s v="BRW-0340"/>
    <d v="2024-08-27T00:00:00"/>
    <s v="Education"/>
    <x v="137"/>
    <n v="36"/>
    <n v="11.66"/>
    <n v="1603.03"/>
    <n v="75.900000000000006"/>
    <s v="Late"/>
    <n v="0"/>
    <x v="0"/>
    <n v="36"/>
    <s v="NJ"/>
    <s v="Bachelor"/>
    <s v="Full-Time"/>
    <x v="9"/>
    <n v="72256"/>
    <n v="704"/>
    <s v="Own"/>
    <n v="0"/>
    <n v="2966"/>
    <x v="2"/>
    <x v="3"/>
    <x v="1"/>
    <x v="2"/>
  </r>
  <r>
    <s v="LN-00411"/>
    <s v="BRW-0341"/>
    <d v="2024-04-12T00:00:00"/>
    <s v="Major Purchase"/>
    <x v="274"/>
    <n v="48"/>
    <n v="13"/>
    <n v="1266.26"/>
    <n v="21.4"/>
    <s v="Current"/>
    <n v="0"/>
    <x v="0"/>
    <n v="27"/>
    <s v="OH"/>
    <s v="Master"/>
    <s v="Self-Employed"/>
    <x v="23"/>
    <n v="117172"/>
    <n v="716"/>
    <s v="Own"/>
    <n v="0"/>
    <n v="819"/>
    <x v="2"/>
    <x v="2"/>
    <x v="0"/>
    <x v="1"/>
  </r>
  <r>
    <s v="LN-00412"/>
    <s v="BRW-0342"/>
    <d v="2025-05-24T00:00:00"/>
    <s v="Moving"/>
    <x v="252"/>
    <n v="60"/>
    <n v="7.59"/>
    <n v="797.21"/>
    <n v="65.400000000000006"/>
    <s v="Late"/>
    <n v="0"/>
    <x v="0"/>
    <n v="38"/>
    <s v="CT"/>
    <s v="Master"/>
    <s v="Self-Employed"/>
    <x v="14"/>
    <n v="58731"/>
    <n v="754"/>
    <s v="Rent"/>
    <n v="1"/>
    <n v="2402"/>
    <x v="3"/>
    <x v="0"/>
    <x v="0"/>
    <x v="0"/>
  </r>
  <r>
    <s v="LN-00413"/>
    <s v="BRW-0343"/>
    <d v="2024-09-03T00:00:00"/>
    <s v="Vacation"/>
    <x v="275"/>
    <n v="12"/>
    <n v="8.58"/>
    <n v="1483.37"/>
    <n v="33.700000000000003"/>
    <s v="Paid Off"/>
    <n v="0"/>
    <x v="0"/>
    <n v="44"/>
    <s v="GA"/>
    <s v="Bachelor"/>
    <s v="Full-Time"/>
    <x v="28"/>
    <n v="71191"/>
    <n v="830"/>
    <s v="Rent"/>
    <n v="0"/>
    <n v="515"/>
    <x v="3"/>
    <x v="2"/>
    <x v="1"/>
    <x v="0"/>
  </r>
  <r>
    <s v="LN-00414"/>
    <s v="BRW-0344"/>
    <d v="2024-11-30T00:00:00"/>
    <s v="Home Improvement"/>
    <x v="276"/>
    <n v="24"/>
    <n v="15.11"/>
    <n v="1766.82"/>
    <n v="37.6"/>
    <s v="Current"/>
    <n v="0"/>
    <x v="0"/>
    <n v="24"/>
    <s v="WA"/>
    <s v="Associate"/>
    <s v="Full-Time"/>
    <x v="9"/>
    <n v="73366"/>
    <n v="572"/>
    <s v="Own"/>
    <n v="0"/>
    <n v="534"/>
    <x v="0"/>
    <x v="1"/>
    <x v="1"/>
    <x v="2"/>
  </r>
  <r>
    <s v="LN-00415"/>
    <s v="BRW-0345"/>
    <d v="2025-05-18T00:00:00"/>
    <s v="Vacation"/>
    <x v="27"/>
    <n v="24"/>
    <n v="15.53"/>
    <n v="1666.87"/>
    <n v="73.900000000000006"/>
    <s v="Default"/>
    <n v="115"/>
    <x v="1"/>
    <n v="27"/>
    <s v="PA"/>
    <s v="Associate"/>
    <s v="Retired"/>
    <x v="0"/>
    <n v="42400"/>
    <n v="545"/>
    <s v="Rent"/>
    <n v="2"/>
    <n v="943"/>
    <x v="0"/>
    <x v="0"/>
    <x v="2"/>
    <x v="0"/>
  </r>
  <r>
    <s v="LN-00416"/>
    <s v="BRW-0346"/>
    <d v="2025-01-25T00:00:00"/>
    <s v="Wedding"/>
    <x v="277"/>
    <n v="36"/>
    <n v="8.42"/>
    <n v="696.82"/>
    <n v="47.8"/>
    <s v="Paid Off"/>
    <n v="0"/>
    <x v="0"/>
    <n v="25"/>
    <s v="MO"/>
    <s v="High School"/>
    <s v="Full-Time"/>
    <x v="6"/>
    <n v="29087"/>
    <n v="808"/>
    <s v="Rent"/>
    <n v="0"/>
    <n v="462"/>
    <x v="3"/>
    <x v="1"/>
    <x v="1"/>
    <x v="0"/>
  </r>
  <r>
    <s v="LN-00417"/>
    <s v="BRW-0346"/>
    <d v="2024-04-24T00:00:00"/>
    <s v="Major Purchase"/>
    <x v="278"/>
    <n v="12"/>
    <n v="7.99"/>
    <n v="852.44"/>
    <n v="54.2"/>
    <s v="Default"/>
    <n v="78"/>
    <x v="1"/>
    <n v="25"/>
    <s v="MO"/>
    <s v="High School"/>
    <s v="Full-Time"/>
    <x v="6"/>
    <n v="29087"/>
    <n v="808"/>
    <s v="Rent"/>
    <n v="0"/>
    <n v="462"/>
    <x v="3"/>
    <x v="0"/>
    <x v="1"/>
    <x v="1"/>
  </r>
  <r>
    <s v="LN-00418"/>
    <s v="BRW-0347"/>
    <d v="2024-01-02T00:00:00"/>
    <s v="Home Improvement"/>
    <x v="156"/>
    <n v="36"/>
    <n v="11.75"/>
    <n v="231.67"/>
    <n v="26.4"/>
    <s v="Current"/>
    <n v="0"/>
    <x v="0"/>
    <n v="37"/>
    <s v="CA"/>
    <s v="High School"/>
    <s v="Full-Time"/>
    <x v="1"/>
    <n v="41748"/>
    <n v="781"/>
    <s v="Own"/>
    <n v="1"/>
    <n v="686"/>
    <x v="3"/>
    <x v="2"/>
    <x v="1"/>
    <x v="2"/>
  </r>
  <r>
    <s v="LN-00419"/>
    <s v="BRW-0348"/>
    <d v="2024-08-15T00:00:00"/>
    <s v="Major Purchase"/>
    <x v="49"/>
    <n v="24"/>
    <n v="12.02"/>
    <n v="607.37"/>
    <n v="26.4"/>
    <s v="Default"/>
    <n v="32"/>
    <x v="1"/>
    <n v="64"/>
    <s v="NY"/>
    <s v="Bachelor"/>
    <s v="Full-Time"/>
    <x v="16"/>
    <n v="46787"/>
    <n v="635"/>
    <s v="Mortgage"/>
    <n v="1"/>
    <n v="420"/>
    <x v="1"/>
    <x v="2"/>
    <x v="1"/>
    <x v="1"/>
  </r>
  <r>
    <s v="LN-00420"/>
    <s v="BRW-0349"/>
    <d v="2025-05-26T00:00:00"/>
    <s v="Vacation"/>
    <x v="279"/>
    <n v="36"/>
    <n v="10.02"/>
    <n v="1039.31"/>
    <n v="45.1"/>
    <s v="Current"/>
    <n v="0"/>
    <x v="0"/>
    <n v="47"/>
    <s v="VA"/>
    <s v="Bachelor"/>
    <s v="Contract"/>
    <x v="13"/>
    <n v="57507"/>
    <n v="850"/>
    <s v="Mortgage"/>
    <n v="3"/>
    <n v="1124"/>
    <x v="3"/>
    <x v="1"/>
    <x v="1"/>
    <x v="0"/>
  </r>
  <r>
    <s v="LN-00421"/>
    <s v="BRW-0350"/>
    <d v="2025-05-04T00:00:00"/>
    <s v="Debt Consolidation"/>
    <x v="280"/>
    <n v="12"/>
    <n v="10.33"/>
    <n v="995.18"/>
    <n v="47.5"/>
    <s v="Current"/>
    <n v="0"/>
    <x v="0"/>
    <n v="50"/>
    <s v="LA"/>
    <s v="High School"/>
    <s v="Full-Time"/>
    <x v="4"/>
    <n v="31671"/>
    <n v="662"/>
    <s v="Own"/>
    <n v="2"/>
    <n v="259"/>
    <x v="4"/>
    <x v="1"/>
    <x v="1"/>
    <x v="1"/>
  </r>
  <r>
    <s v="LN-00422"/>
    <s v="BRW-0351"/>
    <d v="2024-08-18T00:00:00"/>
    <s v="Debt Consolidation"/>
    <x v="281"/>
    <n v="24"/>
    <n v="10.31"/>
    <n v="833.19"/>
    <n v="44.6"/>
    <s v="Paid Off"/>
    <n v="0"/>
    <x v="0"/>
    <n v="64"/>
    <s v="OR"/>
    <s v="Associate"/>
    <s v="Full-Time"/>
    <x v="7"/>
    <n v="74246"/>
    <n v="836"/>
    <s v="Mortgage"/>
    <n v="1"/>
    <n v="1926"/>
    <x v="3"/>
    <x v="1"/>
    <x v="1"/>
    <x v="1"/>
  </r>
  <r>
    <s v="LN-00423"/>
    <s v="BRW-0351"/>
    <d v="2024-06-12T00:00:00"/>
    <s v="Medical Expenses"/>
    <x v="98"/>
    <n v="36"/>
    <n v="10.99"/>
    <n v="1207.8800000000001"/>
    <n v="50.7"/>
    <s v="Current"/>
    <n v="0"/>
    <x v="0"/>
    <n v="64"/>
    <s v="OR"/>
    <s v="Associate"/>
    <s v="Full-Time"/>
    <x v="7"/>
    <n v="74246"/>
    <n v="836"/>
    <s v="Mortgage"/>
    <n v="1"/>
    <n v="1926"/>
    <x v="3"/>
    <x v="0"/>
    <x v="1"/>
    <x v="0"/>
  </r>
  <r>
    <s v="LN-00424"/>
    <s v="BRW-0352"/>
    <d v="2024-10-16T00:00:00"/>
    <s v="Education"/>
    <x v="282"/>
    <n v="60"/>
    <n v="12.8"/>
    <n v="471.14"/>
    <n v="52.9"/>
    <s v="Paid Off"/>
    <n v="0"/>
    <x v="0"/>
    <n v="56"/>
    <s v="WA"/>
    <s v="Bachelor"/>
    <s v="Retired"/>
    <x v="24"/>
    <n v="46283"/>
    <n v="650"/>
    <s v="Mortgage"/>
    <n v="3"/>
    <n v="1570"/>
    <x v="4"/>
    <x v="0"/>
    <x v="2"/>
    <x v="2"/>
  </r>
  <r>
    <s v="LN-00425"/>
    <s v="BRW-0353"/>
    <d v="2024-11-07T00:00:00"/>
    <s v="Medical Expenses"/>
    <x v="283"/>
    <n v="12"/>
    <n v="10.08"/>
    <n v="3518.12"/>
    <n v="107.2"/>
    <s v="Current"/>
    <n v="0"/>
    <x v="0"/>
    <n v="54"/>
    <s v="LA"/>
    <s v="Bachelor"/>
    <s v="Full-Time"/>
    <x v="11"/>
    <n v="77060"/>
    <n v="850"/>
    <s v="Own"/>
    <n v="1"/>
    <n v="3368"/>
    <x v="3"/>
    <x v="3"/>
    <x v="1"/>
    <x v="0"/>
  </r>
  <r>
    <s v="LN-00426"/>
    <s v="BRW-0354"/>
    <d v="2024-01-10T00:00:00"/>
    <s v="Auto Loan"/>
    <x v="221"/>
    <n v="24"/>
    <n v="11.16"/>
    <n v="564.85"/>
    <n v="54.6"/>
    <s v="Late"/>
    <n v="15"/>
    <x v="0"/>
    <n v="32"/>
    <s v="AZ"/>
    <s v="Doctorate"/>
    <s v="Contract"/>
    <x v="18"/>
    <n v="79686"/>
    <n v="751"/>
    <s v="Rent"/>
    <n v="0"/>
    <n v="3063"/>
    <x v="3"/>
    <x v="0"/>
    <x v="1"/>
    <x v="1"/>
  </r>
  <r>
    <s v="LN-00427"/>
    <s v="BRW-0355"/>
    <d v="2024-04-08T00:00:00"/>
    <s v="Medical Expenses"/>
    <x v="284"/>
    <n v="24"/>
    <n v="14.9"/>
    <n v="2383.21"/>
    <n v="69.400000000000006"/>
    <s v="Default"/>
    <n v="151"/>
    <x v="1"/>
    <n v="31"/>
    <s v="WA"/>
    <s v="Master"/>
    <s v="Full-Time"/>
    <x v="18"/>
    <n v="132747"/>
    <n v="584"/>
    <s v="Mortgage"/>
    <n v="2"/>
    <n v="5291"/>
    <x v="0"/>
    <x v="0"/>
    <x v="1"/>
    <x v="0"/>
  </r>
  <r>
    <s v="LN-00428"/>
    <s v="BRW-0356"/>
    <d v="2024-06-01T00:00:00"/>
    <s v="Debt Consolidation"/>
    <x v="205"/>
    <n v="36"/>
    <n v="8.8000000000000007"/>
    <n v="684.87"/>
    <n v="21.5"/>
    <s v="Current"/>
    <n v="0"/>
    <x v="0"/>
    <n v="55"/>
    <s v="FL"/>
    <s v="Bachelor"/>
    <s v="Contract"/>
    <x v="27"/>
    <n v="90781"/>
    <n v="850"/>
    <s v="Rent"/>
    <n v="1"/>
    <n v="938"/>
    <x v="3"/>
    <x v="2"/>
    <x v="1"/>
    <x v="1"/>
  </r>
  <r>
    <s v="LN-00429"/>
    <s v="BRW-0357"/>
    <d v="2025-01-19T00:00:00"/>
    <s v="Vacation"/>
    <x v="61"/>
    <n v="24"/>
    <n v="13.61"/>
    <n v="573.95000000000005"/>
    <n v="46.6"/>
    <s v="Late"/>
    <n v="30"/>
    <x v="0"/>
    <n v="59"/>
    <s v="OK"/>
    <s v="Bachelor"/>
    <s v="Retired"/>
    <x v="0"/>
    <n v="28195"/>
    <n v="579"/>
    <s v="Rent"/>
    <n v="1"/>
    <n v="521"/>
    <x v="0"/>
    <x v="1"/>
    <x v="2"/>
    <x v="0"/>
  </r>
  <r>
    <s v="LN-00430"/>
    <s v="BRW-0358"/>
    <d v="2025-03-31T00:00:00"/>
    <s v="Vacation"/>
    <x v="285"/>
    <n v="36"/>
    <n v="10.3"/>
    <n v="1075.95"/>
    <n v="58.6"/>
    <s v="Current"/>
    <n v="0"/>
    <x v="0"/>
    <n v="48"/>
    <s v="WA"/>
    <s v="Associate"/>
    <s v="Self-Employed"/>
    <x v="18"/>
    <n v="55827"/>
    <n v="772"/>
    <s v="Own"/>
    <n v="0"/>
    <n v="1648"/>
    <x v="3"/>
    <x v="0"/>
    <x v="0"/>
    <x v="0"/>
  </r>
  <r>
    <s v="LN-00431"/>
    <s v="BRW-0359"/>
    <d v="2024-04-06T00:00:00"/>
    <s v="Moving"/>
    <x v="286"/>
    <n v="60"/>
    <n v="11.38"/>
    <n v="662.36"/>
    <n v="31.8"/>
    <s v="Current"/>
    <n v="0"/>
    <x v="0"/>
    <n v="66"/>
    <s v="UT"/>
    <s v="Bachelor"/>
    <s v="Full-Time"/>
    <x v="20"/>
    <n v="96677"/>
    <n v="661"/>
    <s v="Rent"/>
    <n v="0"/>
    <n v="1903"/>
    <x v="4"/>
    <x v="2"/>
    <x v="1"/>
    <x v="0"/>
  </r>
  <r>
    <s v="LN-00432"/>
    <s v="BRW-0360"/>
    <d v="2024-07-08T00:00:00"/>
    <s v="Major Purchase"/>
    <x v="109"/>
    <n v="36"/>
    <n v="7.22"/>
    <n v="247.82"/>
    <n v="23.8"/>
    <s v="Current"/>
    <n v="0"/>
    <x v="0"/>
    <n v="43"/>
    <s v="OK"/>
    <s v="Master"/>
    <s v="Full-Time"/>
    <x v="2"/>
    <n v="78653"/>
    <n v="786"/>
    <s v="Rent"/>
    <n v="0"/>
    <n v="1312"/>
    <x v="3"/>
    <x v="2"/>
    <x v="1"/>
    <x v="1"/>
  </r>
  <r>
    <s v="LN-00433"/>
    <s v="BRW-0361"/>
    <d v="2024-05-07T00:00:00"/>
    <s v="Moving"/>
    <x v="287"/>
    <n v="60"/>
    <n v="8.5299999999999994"/>
    <n v="552.28"/>
    <n v="51.9"/>
    <s v="Late"/>
    <n v="0"/>
    <x v="0"/>
    <n v="50"/>
    <s v="MA"/>
    <s v="Master"/>
    <s v="Full-Time"/>
    <x v="28"/>
    <n v="117130"/>
    <n v="850"/>
    <s v="Own"/>
    <n v="0"/>
    <n v="4509"/>
    <x v="3"/>
    <x v="0"/>
    <x v="1"/>
    <x v="0"/>
  </r>
  <r>
    <s v="LN-00434"/>
    <s v="BRW-0361"/>
    <d v="2025-04-02T00:00:00"/>
    <s v="Home Improvement"/>
    <x v="288"/>
    <n v="24"/>
    <n v="5.86"/>
    <n v="1363.13"/>
    <n v="60.2"/>
    <s v="Current"/>
    <n v="0"/>
    <x v="0"/>
    <n v="50"/>
    <s v="MA"/>
    <s v="Master"/>
    <s v="Full-Time"/>
    <x v="28"/>
    <n v="117130"/>
    <n v="850"/>
    <s v="Own"/>
    <n v="0"/>
    <n v="4509"/>
    <x v="3"/>
    <x v="0"/>
    <x v="1"/>
    <x v="2"/>
  </r>
  <r>
    <s v="LN-00435"/>
    <s v="BRW-0362"/>
    <d v="2024-05-07T00:00:00"/>
    <s v="Medical Expenses"/>
    <x v="289"/>
    <n v="12"/>
    <n v="6.87"/>
    <n v="1236.48"/>
    <n v="23.6"/>
    <s v="Current"/>
    <n v="0"/>
    <x v="0"/>
    <n v="53"/>
    <s v="SC"/>
    <s v="Master"/>
    <s v="Contract"/>
    <x v="16"/>
    <n v="125043"/>
    <n v="813"/>
    <s v="Own"/>
    <n v="1"/>
    <n v="1227"/>
    <x v="3"/>
    <x v="2"/>
    <x v="1"/>
    <x v="0"/>
  </r>
  <r>
    <s v="LN-00436"/>
    <s v="BRW-0363"/>
    <d v="2024-10-27T00:00:00"/>
    <s v="Debt Consolidation"/>
    <x v="50"/>
    <n v="60"/>
    <n v="13.91"/>
    <n v="90.56"/>
    <n v="24.5"/>
    <s v="Current"/>
    <n v="0"/>
    <x v="0"/>
    <n v="55"/>
    <s v="MA"/>
    <s v="Master"/>
    <s v="Full-Time"/>
    <x v="20"/>
    <n v="71139"/>
    <n v="637"/>
    <s v="Own"/>
    <n v="0"/>
    <n v="1364"/>
    <x v="1"/>
    <x v="2"/>
    <x v="1"/>
    <x v="1"/>
  </r>
  <r>
    <s v="LN-00437"/>
    <s v="BRW-0364"/>
    <d v="2024-08-02T00:00:00"/>
    <s v="Moving"/>
    <x v="290"/>
    <n v="60"/>
    <n v="8.52"/>
    <n v="1022.2"/>
    <n v="52.7"/>
    <s v="Current"/>
    <n v="0"/>
    <x v="0"/>
    <n v="34"/>
    <s v="CA"/>
    <s v="Associate"/>
    <s v="Contract"/>
    <x v="7"/>
    <n v="52736"/>
    <n v="850"/>
    <s v="Own"/>
    <n v="0"/>
    <n v="1293"/>
    <x v="3"/>
    <x v="0"/>
    <x v="1"/>
    <x v="0"/>
  </r>
  <r>
    <s v="LN-00438"/>
    <s v="BRW-0365"/>
    <d v="2024-08-09T00:00:00"/>
    <s v="Medical Expenses"/>
    <x v="291"/>
    <n v="24"/>
    <n v="11.19"/>
    <n v="1120.71"/>
    <n v="77.8"/>
    <s v="Paid Off"/>
    <n v="0"/>
    <x v="0"/>
    <n v="50"/>
    <s v="CT"/>
    <s v="High School"/>
    <s v="Contract"/>
    <x v="21"/>
    <n v="43058"/>
    <n v="709"/>
    <s v="Own"/>
    <n v="0"/>
    <n v="1670"/>
    <x v="2"/>
    <x v="3"/>
    <x v="1"/>
    <x v="0"/>
  </r>
  <r>
    <s v="LN-00439"/>
    <s v="BRW-0366"/>
    <d v="2024-03-26T00:00:00"/>
    <s v="Moving"/>
    <x v="278"/>
    <n v="24"/>
    <n v="8.3800000000000008"/>
    <n v="444.93"/>
    <n v="29.8"/>
    <s v="Paid Off"/>
    <n v="0"/>
    <x v="0"/>
    <n v="27"/>
    <s v="CO"/>
    <s v="Associate"/>
    <s v="Full-Time"/>
    <x v="20"/>
    <n v="36926"/>
    <n v="817"/>
    <s v="Rent"/>
    <n v="0"/>
    <n v="471"/>
    <x v="3"/>
    <x v="2"/>
    <x v="1"/>
    <x v="0"/>
  </r>
  <r>
    <s v="LN-00440"/>
    <s v="BRW-0367"/>
    <d v="2025-06-07T00:00:00"/>
    <s v="Business Loan"/>
    <x v="292"/>
    <n v="24"/>
    <n v="14.51"/>
    <n v="1254.6099999999999"/>
    <n v="61.7"/>
    <s v="Current"/>
    <n v="0"/>
    <x v="0"/>
    <n v="63"/>
    <s v="CO"/>
    <s v="Bachelor"/>
    <s v="Full-Time"/>
    <x v="24"/>
    <n v="90383"/>
    <n v="544"/>
    <s v="Rent"/>
    <n v="0"/>
    <n v="3392"/>
    <x v="0"/>
    <x v="0"/>
    <x v="1"/>
    <x v="2"/>
  </r>
  <r>
    <s v="LN-00441"/>
    <s v="BRW-0368"/>
    <d v="2024-05-07T00:00:00"/>
    <s v="Major Purchase"/>
    <x v="293"/>
    <n v="24"/>
    <n v="6.22"/>
    <n v="1408.11"/>
    <n v="66.8"/>
    <s v="Current"/>
    <n v="0"/>
    <x v="0"/>
    <n v="36"/>
    <s v="WA"/>
    <s v="Associate"/>
    <s v="Contract"/>
    <x v="5"/>
    <n v="43512"/>
    <n v="850"/>
    <s v="Mortgage"/>
    <n v="3"/>
    <n v="1013"/>
    <x v="3"/>
    <x v="0"/>
    <x v="1"/>
    <x v="1"/>
  </r>
  <r>
    <s v="LN-00442"/>
    <s v="BRW-0368"/>
    <d v="2024-05-29T00:00:00"/>
    <s v="Education"/>
    <x v="294"/>
    <n v="36"/>
    <n v="9.7200000000000006"/>
    <n v="581.66"/>
    <n v="44"/>
    <s v="Current"/>
    <n v="0"/>
    <x v="0"/>
    <n v="36"/>
    <s v="WA"/>
    <s v="Associate"/>
    <s v="Contract"/>
    <x v="5"/>
    <n v="43512"/>
    <n v="850"/>
    <s v="Mortgage"/>
    <n v="3"/>
    <n v="1013"/>
    <x v="3"/>
    <x v="1"/>
    <x v="1"/>
    <x v="2"/>
  </r>
  <r>
    <s v="LN-00443"/>
    <s v="BRW-0369"/>
    <d v="2024-11-09T00:00:00"/>
    <s v="Business Loan"/>
    <x v="156"/>
    <n v="12"/>
    <n v="8.5"/>
    <n v="610.54"/>
    <n v="54.8"/>
    <s v="Current"/>
    <n v="0"/>
    <x v="0"/>
    <n v="35"/>
    <s v="MN"/>
    <s v="Bachelor"/>
    <s v="Self-Employed"/>
    <x v="20"/>
    <n v="93191"/>
    <n v="743"/>
    <s v="Own"/>
    <n v="4"/>
    <n v="3647"/>
    <x v="2"/>
    <x v="0"/>
    <x v="0"/>
    <x v="2"/>
  </r>
  <r>
    <s v="LN-00444"/>
    <s v="BRW-0370"/>
    <d v="2024-02-19T00:00:00"/>
    <s v="Wedding"/>
    <x v="295"/>
    <n v="60"/>
    <n v="10.83"/>
    <n v="543.61"/>
    <n v="68"/>
    <s v="Default"/>
    <n v="129"/>
    <x v="1"/>
    <n v="57"/>
    <s v="NC"/>
    <s v="Bachelor"/>
    <s v="Part-Time"/>
    <x v="24"/>
    <n v="32803"/>
    <n v="580"/>
    <s v="Own"/>
    <n v="2"/>
    <n v="1314"/>
    <x v="0"/>
    <x v="0"/>
    <x v="1"/>
    <x v="0"/>
  </r>
  <r>
    <s v="LN-00445"/>
    <s v="BRW-0371"/>
    <d v="2024-05-10T00:00:00"/>
    <s v="Moving"/>
    <x v="107"/>
    <n v="48"/>
    <n v="11.95"/>
    <n v="1107.6199999999999"/>
    <n v="72.2"/>
    <s v="Default"/>
    <n v="161"/>
    <x v="1"/>
    <n v="38"/>
    <s v="GA"/>
    <s v="Bachelor"/>
    <s v="Retired"/>
    <x v="1"/>
    <n v="49297"/>
    <n v="626"/>
    <s v="Mortgage"/>
    <n v="3"/>
    <n v="1859"/>
    <x v="1"/>
    <x v="0"/>
    <x v="2"/>
    <x v="0"/>
  </r>
  <r>
    <s v="LN-00446"/>
    <s v="BRW-0372"/>
    <d v="2025-01-14T00:00:00"/>
    <s v="Medical Expenses"/>
    <x v="59"/>
    <n v="36"/>
    <n v="11.21"/>
    <n v="463.02"/>
    <n v="36.4"/>
    <s v="Late"/>
    <n v="0"/>
    <x v="0"/>
    <n v="60"/>
    <s v="NC"/>
    <s v="Bachelor"/>
    <s v="Full-Time"/>
    <x v="33"/>
    <n v="49527"/>
    <n v="543"/>
    <s v="Rent"/>
    <n v="3"/>
    <n v="1041"/>
    <x v="0"/>
    <x v="1"/>
    <x v="1"/>
    <x v="0"/>
  </r>
  <r>
    <s v="LN-00447"/>
    <s v="BRW-0373"/>
    <d v="2024-10-09T00:00:00"/>
    <s v="Medical Expenses"/>
    <x v="296"/>
    <n v="48"/>
    <n v="10.76"/>
    <n v="452.83"/>
    <n v="60.1"/>
    <s v="Paid Off"/>
    <n v="0"/>
    <x v="0"/>
    <n v="24"/>
    <s v="CO"/>
    <s v="Bachelor"/>
    <s v="Retired"/>
    <x v="18"/>
    <n v="55596"/>
    <n v="705"/>
    <s v="Rent"/>
    <n v="2"/>
    <n v="2331"/>
    <x v="2"/>
    <x v="0"/>
    <x v="2"/>
    <x v="0"/>
  </r>
  <r>
    <s v="LN-00448"/>
    <s v="BRW-0374"/>
    <d v="2024-11-16T00:00:00"/>
    <s v="Business Loan"/>
    <x v="95"/>
    <n v="36"/>
    <n v="8.4499999999999993"/>
    <n v="936.87"/>
    <n v="39.799999999999997"/>
    <s v="Current"/>
    <n v="0"/>
    <x v="0"/>
    <n v="64"/>
    <s v="TN"/>
    <s v="Bachelor"/>
    <s v="Full-Time"/>
    <x v="21"/>
    <n v="51445"/>
    <n v="815"/>
    <s v="Mortgage"/>
    <n v="0"/>
    <n v="768"/>
    <x v="3"/>
    <x v="1"/>
    <x v="1"/>
    <x v="2"/>
  </r>
  <r>
    <s v="LN-00449"/>
    <s v="BRW-0374"/>
    <d v="2024-10-19T00:00:00"/>
    <s v="Business Loan"/>
    <x v="223"/>
    <n v="12"/>
    <n v="6.84"/>
    <n v="855.88"/>
    <n v="37.9"/>
    <s v="Paid Off"/>
    <n v="0"/>
    <x v="0"/>
    <n v="64"/>
    <s v="TN"/>
    <s v="Bachelor"/>
    <s v="Full-Time"/>
    <x v="21"/>
    <n v="51445"/>
    <n v="815"/>
    <s v="Mortgage"/>
    <n v="0"/>
    <n v="768"/>
    <x v="3"/>
    <x v="1"/>
    <x v="1"/>
    <x v="2"/>
  </r>
  <r>
    <s v="LN-00450"/>
    <s v="BRW-0375"/>
    <d v="2025-06-11T00:00:00"/>
    <s v="Major Purchase"/>
    <x v="297"/>
    <n v="24"/>
    <n v="10.46"/>
    <n v="2169.5300000000002"/>
    <n v="43.4"/>
    <s v="Current"/>
    <n v="0"/>
    <x v="0"/>
    <n v="57"/>
    <s v="GA"/>
    <s v="Master"/>
    <s v="Full-Time"/>
    <x v="6"/>
    <n v="112919"/>
    <n v="716"/>
    <s v="Own"/>
    <n v="2"/>
    <n v="1915"/>
    <x v="2"/>
    <x v="1"/>
    <x v="1"/>
    <x v="1"/>
  </r>
  <r>
    <s v="LN-00451"/>
    <s v="BRW-0375"/>
    <d v="2024-12-19T00:00:00"/>
    <s v="Home Improvement"/>
    <x v="298"/>
    <n v="12"/>
    <n v="11.64"/>
    <n v="2802.3"/>
    <n v="50.1"/>
    <s v="Paid Off"/>
    <n v="0"/>
    <x v="0"/>
    <n v="57"/>
    <s v="GA"/>
    <s v="Master"/>
    <s v="Full-Time"/>
    <x v="6"/>
    <n v="112919"/>
    <n v="716"/>
    <s v="Own"/>
    <n v="2"/>
    <n v="1915"/>
    <x v="2"/>
    <x v="0"/>
    <x v="1"/>
    <x v="2"/>
  </r>
  <r>
    <s v="LN-00452"/>
    <s v="BRW-0376"/>
    <d v="2025-06-20T00:00:00"/>
    <s v="Moving"/>
    <x v="299"/>
    <n v="48"/>
    <n v="15.07"/>
    <n v="103.11"/>
    <n v="55.4"/>
    <s v="Current"/>
    <n v="0"/>
    <x v="0"/>
    <n v="43"/>
    <s v="CO"/>
    <s v="Bachelor"/>
    <s v="Part-Time"/>
    <x v="8"/>
    <n v="38602"/>
    <n v="585"/>
    <s v="Own"/>
    <n v="2"/>
    <n v="1679"/>
    <x v="0"/>
    <x v="0"/>
    <x v="1"/>
    <x v="0"/>
  </r>
  <r>
    <s v="LN-00453"/>
    <s v="BRW-0376"/>
    <d v="2024-06-23T00:00:00"/>
    <s v="Medical Expenses"/>
    <x v="268"/>
    <n v="48"/>
    <n v="12.73"/>
    <n v="902.25"/>
    <n v="80.2"/>
    <s v="Default"/>
    <n v="58"/>
    <x v="1"/>
    <n v="43"/>
    <s v="CO"/>
    <s v="Bachelor"/>
    <s v="Part-Time"/>
    <x v="8"/>
    <n v="38602"/>
    <n v="585"/>
    <s v="Own"/>
    <n v="2"/>
    <n v="1679"/>
    <x v="0"/>
    <x v="3"/>
    <x v="1"/>
    <x v="0"/>
  </r>
  <r>
    <s v="LN-00454"/>
    <s v="BRW-0377"/>
    <d v="2025-05-09T00:00:00"/>
    <s v="Business Loan"/>
    <x v="300"/>
    <n v="12"/>
    <n v="9.3699999999999992"/>
    <n v="3750.27"/>
    <n v="105.8"/>
    <s v="Paid Off"/>
    <n v="0"/>
    <x v="0"/>
    <n v="26"/>
    <s v="TX"/>
    <s v="Bachelor"/>
    <s v="Full-Time"/>
    <x v="1"/>
    <n v="48244"/>
    <n v="725"/>
    <s v="Mortgage"/>
    <n v="3"/>
    <n v="504"/>
    <x v="2"/>
    <x v="3"/>
    <x v="1"/>
    <x v="2"/>
  </r>
  <r>
    <s v="LN-00455"/>
    <s v="BRW-0378"/>
    <d v="2024-02-06T00:00:00"/>
    <s v="Business Loan"/>
    <x v="301"/>
    <n v="60"/>
    <n v="11.4"/>
    <n v="1022.52"/>
    <n v="38"/>
    <s v="Late"/>
    <n v="15"/>
    <x v="0"/>
    <n v="34"/>
    <s v="SC"/>
    <s v="Associate"/>
    <s v="Retired"/>
    <x v="9"/>
    <n v="42389"/>
    <n v="764"/>
    <s v="Mortgage"/>
    <n v="0"/>
    <n v="319"/>
    <x v="3"/>
    <x v="1"/>
    <x v="2"/>
    <x v="2"/>
  </r>
  <r>
    <s v="LN-00456"/>
    <s v="BRW-0379"/>
    <d v="2024-12-24T00:00:00"/>
    <s v="Debt Consolidation"/>
    <x v="302"/>
    <n v="36"/>
    <n v="11.5"/>
    <n v="586.97"/>
    <n v="42.5"/>
    <s v="Current"/>
    <n v="0"/>
    <x v="0"/>
    <n v="43"/>
    <s v="LA"/>
    <s v="Bachelor"/>
    <s v="Full-Time"/>
    <x v="7"/>
    <n v="81081"/>
    <n v="542"/>
    <s v="Mortgage"/>
    <n v="2"/>
    <n v="2284"/>
    <x v="0"/>
    <x v="1"/>
    <x v="1"/>
    <x v="1"/>
  </r>
  <r>
    <s v="LN-00457"/>
    <s v="BRW-0380"/>
    <d v="2025-05-14T00:00:00"/>
    <s v="Vacation"/>
    <x v="59"/>
    <n v="24"/>
    <n v="7.99"/>
    <n v="637.64"/>
    <n v="45.4"/>
    <s v="Default"/>
    <n v="94"/>
    <x v="1"/>
    <n v="32"/>
    <s v="WA"/>
    <s v="Bachelor"/>
    <s v="Self-Employed"/>
    <x v="0"/>
    <n v="46217"/>
    <n v="844"/>
    <s v="Mortgage"/>
    <n v="1"/>
    <n v="1111"/>
    <x v="3"/>
    <x v="1"/>
    <x v="0"/>
    <x v="0"/>
  </r>
  <r>
    <s v="LN-00458"/>
    <s v="BRW-0381"/>
    <d v="2024-10-02T00:00:00"/>
    <s v="Major Purchase"/>
    <x v="47"/>
    <n v="24"/>
    <n v="13.82"/>
    <n v="527.21"/>
    <n v="56.6"/>
    <s v="Default"/>
    <n v="142"/>
    <x v="1"/>
    <n v="22"/>
    <s v="IN"/>
    <s v="High School"/>
    <s v="Full-Time"/>
    <x v="18"/>
    <n v="35533"/>
    <n v="532"/>
    <s v="Rent"/>
    <n v="0"/>
    <n v="1150"/>
    <x v="0"/>
    <x v="0"/>
    <x v="1"/>
    <x v="1"/>
  </r>
  <r>
    <s v="LN-00459"/>
    <s v="BRW-0382"/>
    <d v="2024-07-22T00:00:00"/>
    <s v="Vacation"/>
    <x v="254"/>
    <n v="48"/>
    <n v="8.2100000000000009"/>
    <n v="465.72"/>
    <n v="17.600000000000001"/>
    <s v="Current"/>
    <n v="0"/>
    <x v="0"/>
    <n v="62"/>
    <s v="IN"/>
    <s v="Master"/>
    <s v="Full-Time"/>
    <x v="5"/>
    <n v="129845"/>
    <n v="709"/>
    <s v="Own"/>
    <n v="2"/>
    <n v="1444"/>
    <x v="2"/>
    <x v="2"/>
    <x v="1"/>
    <x v="0"/>
  </r>
  <r>
    <s v="LN-00460"/>
    <s v="BRW-0383"/>
    <d v="2024-09-29T00:00:00"/>
    <s v="Education"/>
    <x v="57"/>
    <n v="24"/>
    <n v="10.74"/>
    <n v="450.93"/>
    <n v="20.3"/>
    <s v="Current"/>
    <n v="0"/>
    <x v="0"/>
    <n v="24"/>
    <s v="CT"/>
    <s v="Associate"/>
    <s v="Full-Time"/>
    <x v="1"/>
    <n v="63025"/>
    <n v="840"/>
    <s v="Mortgage"/>
    <n v="2"/>
    <n v="613"/>
    <x v="3"/>
    <x v="2"/>
    <x v="1"/>
    <x v="2"/>
  </r>
  <r>
    <s v="LN-00461"/>
    <s v="BRW-0384"/>
    <d v="2025-02-02T00:00:00"/>
    <s v="Medical Expenses"/>
    <x v="303"/>
    <n v="48"/>
    <n v="9.99"/>
    <n v="981.35"/>
    <n v="27.2"/>
    <s v="Late"/>
    <n v="30"/>
    <x v="0"/>
    <n v="53"/>
    <s v="AL"/>
    <s v="Bachelor"/>
    <s v="Full-Time"/>
    <x v="18"/>
    <n v="101087"/>
    <n v="751"/>
    <s v="Own"/>
    <n v="4"/>
    <n v="1310"/>
    <x v="3"/>
    <x v="2"/>
    <x v="1"/>
    <x v="0"/>
  </r>
  <r>
    <s v="LN-00462"/>
    <s v="BRW-0385"/>
    <d v="2024-12-16T00:00:00"/>
    <s v="Education"/>
    <x v="148"/>
    <n v="24"/>
    <n v="11.03"/>
    <n v="1808.92"/>
    <n v="70.099999999999994"/>
    <s v="Default"/>
    <n v="32"/>
    <x v="1"/>
    <n v="23"/>
    <s v="NC"/>
    <s v="Bachelor"/>
    <s v="Full-Time"/>
    <x v="20"/>
    <n v="63988"/>
    <n v="554"/>
    <s v="Rent"/>
    <n v="2"/>
    <n v="1927"/>
    <x v="0"/>
    <x v="0"/>
    <x v="1"/>
    <x v="2"/>
  </r>
  <r>
    <s v="LN-00463"/>
    <s v="BRW-0386"/>
    <d v="2024-06-05T00:00:00"/>
    <s v="Auto Loan"/>
    <x v="304"/>
    <n v="48"/>
    <n v="11.91"/>
    <n v="157.74"/>
    <n v="12.6"/>
    <s v="Current"/>
    <n v="0"/>
    <x v="0"/>
    <n v="60"/>
    <s v="AZ"/>
    <s v="Doctorate"/>
    <s v="Self-Employed"/>
    <x v="20"/>
    <n v="134797"/>
    <n v="560"/>
    <s v="Rent"/>
    <n v="1"/>
    <n v="1255"/>
    <x v="0"/>
    <x v="2"/>
    <x v="0"/>
    <x v="1"/>
  </r>
  <r>
    <s v="LN-00464"/>
    <s v="BRW-0387"/>
    <d v="2024-04-15T00:00:00"/>
    <s v="Auto Loan"/>
    <x v="182"/>
    <n v="48"/>
    <n v="6.83"/>
    <n v="331.76"/>
    <n v="35.700000000000003"/>
    <s v="Current"/>
    <n v="0"/>
    <x v="0"/>
    <n v="38"/>
    <s v="MN"/>
    <s v="Bachelor"/>
    <s v="Full-Time"/>
    <x v="10"/>
    <n v="84953"/>
    <n v="850"/>
    <s v="Mortgage"/>
    <n v="0"/>
    <n v="2195"/>
    <x v="3"/>
    <x v="1"/>
    <x v="1"/>
    <x v="1"/>
  </r>
  <r>
    <s v="LN-00465"/>
    <s v="BRW-0388"/>
    <d v="2024-02-09T00:00:00"/>
    <s v="Wedding"/>
    <x v="99"/>
    <n v="12"/>
    <n v="10.78"/>
    <n v="803.34"/>
    <n v="54.5"/>
    <s v="Default"/>
    <n v="79"/>
    <x v="1"/>
    <n v="61"/>
    <s v="FL"/>
    <s v="Bachelor"/>
    <s v="Full-Time"/>
    <x v="30"/>
    <n v="93595"/>
    <n v="593"/>
    <s v="Rent"/>
    <n v="0"/>
    <n v="3450"/>
    <x v="0"/>
    <x v="0"/>
    <x v="1"/>
    <x v="0"/>
  </r>
  <r>
    <s v="LN-00466"/>
    <s v="BRW-0388"/>
    <d v="2025-01-24T00:00:00"/>
    <s v="Medical Expenses"/>
    <x v="298"/>
    <n v="12"/>
    <n v="14.44"/>
    <n v="2843.82"/>
    <n v="80.7"/>
    <s v="Default"/>
    <n v="108"/>
    <x v="1"/>
    <n v="61"/>
    <s v="FL"/>
    <s v="Bachelor"/>
    <s v="Full-Time"/>
    <x v="30"/>
    <n v="93595"/>
    <n v="593"/>
    <s v="Rent"/>
    <n v="0"/>
    <n v="3450"/>
    <x v="0"/>
    <x v="3"/>
    <x v="1"/>
    <x v="0"/>
  </r>
  <r>
    <s v="LN-00467"/>
    <s v="BRW-0389"/>
    <d v="2024-02-22T00:00:00"/>
    <s v="Business Loan"/>
    <x v="241"/>
    <n v="12"/>
    <n v="9.35"/>
    <n v="771"/>
    <n v="36.200000000000003"/>
    <s v="Current"/>
    <n v="0"/>
    <x v="0"/>
    <n v="53"/>
    <s v="AZ"/>
    <s v="High School"/>
    <s v="Full-Time"/>
    <x v="15"/>
    <n v="31657"/>
    <n v="792"/>
    <s v="Mortgage"/>
    <n v="0"/>
    <n v="183"/>
    <x v="3"/>
    <x v="1"/>
    <x v="1"/>
    <x v="2"/>
  </r>
  <r>
    <s v="LN-00468"/>
    <s v="BRW-0390"/>
    <d v="2024-02-23T00:00:00"/>
    <s v="Major Purchase"/>
    <x v="305"/>
    <n v="24"/>
    <n v="9.1999999999999993"/>
    <n v="2059.9499999999998"/>
    <n v="72.5"/>
    <s v="Current"/>
    <n v="0"/>
    <x v="0"/>
    <n v="53"/>
    <s v="NY"/>
    <s v="Master"/>
    <s v="Self-Employed"/>
    <x v="10"/>
    <n v="95840"/>
    <n v="660"/>
    <s v="Own"/>
    <n v="3"/>
    <n v="3734"/>
    <x v="4"/>
    <x v="0"/>
    <x v="0"/>
    <x v="1"/>
  </r>
  <r>
    <s v="LN-00469"/>
    <s v="BRW-0391"/>
    <d v="2024-11-07T00:00:00"/>
    <s v="Wedding"/>
    <x v="72"/>
    <n v="48"/>
    <n v="12.35"/>
    <n v="153.72999999999999"/>
    <n v="57.8"/>
    <s v="Default"/>
    <n v="33"/>
    <x v="1"/>
    <n v="64"/>
    <s v="CO"/>
    <s v="Bachelor"/>
    <s v="Retired"/>
    <x v="0"/>
    <n v="54199"/>
    <n v="568"/>
    <s v="Rent"/>
    <n v="0"/>
    <n v="2458"/>
    <x v="0"/>
    <x v="0"/>
    <x v="2"/>
    <x v="0"/>
  </r>
  <r>
    <s v="LN-00470"/>
    <s v="BRW-0392"/>
    <d v="2025-06-25T00:00:00"/>
    <s v="Medical Expenses"/>
    <x v="306"/>
    <n v="36"/>
    <n v="14.46"/>
    <n v="1207.49"/>
    <n v="63.5"/>
    <s v="Current"/>
    <n v="0"/>
    <x v="0"/>
    <n v="40"/>
    <s v="MN"/>
    <s v="Associate"/>
    <s v="Full-Time"/>
    <x v="11"/>
    <n v="66968"/>
    <n v="555"/>
    <s v="Mortgage"/>
    <n v="1"/>
    <n v="2339"/>
    <x v="0"/>
    <x v="0"/>
    <x v="1"/>
    <x v="0"/>
  </r>
  <r>
    <s v="LN-00471"/>
    <s v="BRW-0393"/>
    <d v="2024-07-14T00:00:00"/>
    <s v="Home Improvement"/>
    <x v="260"/>
    <n v="60"/>
    <n v="10.6"/>
    <n v="178.81"/>
    <n v="40"/>
    <s v="Default"/>
    <n v="144"/>
    <x v="1"/>
    <n v="28"/>
    <s v="CT"/>
    <s v="Master"/>
    <s v="Contract"/>
    <x v="9"/>
    <n v="55429"/>
    <n v="600"/>
    <s v="Mortgage"/>
    <n v="1"/>
    <n v="1667"/>
    <x v="1"/>
    <x v="1"/>
    <x v="1"/>
    <x v="2"/>
  </r>
  <r>
    <s v="LN-00472"/>
    <s v="BRW-0394"/>
    <d v="2024-07-25T00:00:00"/>
    <s v="Home Improvement"/>
    <x v="307"/>
    <n v="36"/>
    <n v="11.46"/>
    <n v="866.77"/>
    <n v="75.599999999999994"/>
    <s v="Current"/>
    <n v="0"/>
    <x v="0"/>
    <n v="68"/>
    <s v="NC"/>
    <s v="High School"/>
    <s v="Contract"/>
    <x v="26"/>
    <n v="28837"/>
    <n v="730"/>
    <s v="Rent"/>
    <n v="3"/>
    <n v="949"/>
    <x v="2"/>
    <x v="3"/>
    <x v="1"/>
    <x v="2"/>
  </r>
  <r>
    <s v="LN-00473"/>
    <s v="BRW-0394"/>
    <d v="2025-01-09T00:00:00"/>
    <s v="Major Purchase"/>
    <x v="161"/>
    <n v="60"/>
    <n v="12.71"/>
    <n v="192.14"/>
    <n v="47.5"/>
    <s v="Paid Off"/>
    <n v="0"/>
    <x v="0"/>
    <n v="68"/>
    <s v="NC"/>
    <s v="High School"/>
    <s v="Contract"/>
    <x v="26"/>
    <n v="28837"/>
    <n v="730"/>
    <s v="Rent"/>
    <n v="3"/>
    <n v="949"/>
    <x v="2"/>
    <x v="1"/>
    <x v="1"/>
    <x v="1"/>
  </r>
  <r>
    <s v="LN-00474"/>
    <s v="BRW-0395"/>
    <d v="2024-10-07T00:00:00"/>
    <s v="Major Purchase"/>
    <x v="243"/>
    <n v="12"/>
    <n v="10.97"/>
    <n v="4215.1400000000003"/>
    <n v="122"/>
    <s v="Current"/>
    <n v="0"/>
    <x v="0"/>
    <n v="52"/>
    <s v="TX"/>
    <s v="Master"/>
    <s v="Part-Time"/>
    <x v="5"/>
    <n v="67635"/>
    <n v="592"/>
    <s v="Rent"/>
    <n v="4"/>
    <n v="2661"/>
    <x v="0"/>
    <x v="3"/>
    <x v="1"/>
    <x v="1"/>
  </r>
  <r>
    <s v="LN-00475"/>
    <s v="BRW-0396"/>
    <d v="2024-03-17T00:00:00"/>
    <s v="Business Loan"/>
    <x v="308"/>
    <n v="60"/>
    <n v="11.78"/>
    <n v="467.02"/>
    <n v="17.5"/>
    <s v="Current"/>
    <n v="0"/>
    <x v="0"/>
    <n v="28"/>
    <s v="LA"/>
    <s v="Bachelor"/>
    <s v="Part-Time"/>
    <x v="9"/>
    <n v="50481"/>
    <n v="754"/>
    <s v="Mortgage"/>
    <n v="1"/>
    <n v="270"/>
    <x v="3"/>
    <x v="2"/>
    <x v="1"/>
    <x v="2"/>
  </r>
  <r>
    <s v="LN-00476"/>
    <s v="BRW-0397"/>
    <d v="2024-08-11T00:00:00"/>
    <s v="Major Purchase"/>
    <x v="128"/>
    <n v="12"/>
    <n v="7.52"/>
    <n v="1032.52"/>
    <n v="17.600000000000001"/>
    <s v="Paid Off"/>
    <n v="0"/>
    <x v="0"/>
    <n v="65"/>
    <s v="AZ"/>
    <s v="Master"/>
    <s v="Self-Employed"/>
    <x v="33"/>
    <n v="131113"/>
    <n v="797"/>
    <s v="Own"/>
    <n v="1"/>
    <n v="892"/>
    <x v="3"/>
    <x v="2"/>
    <x v="0"/>
    <x v="1"/>
  </r>
  <r>
    <s v="LN-00477"/>
    <s v="BRW-0398"/>
    <d v="2024-10-30T00:00:00"/>
    <s v="Moving"/>
    <x v="82"/>
    <n v="36"/>
    <n v="10.43"/>
    <n v="883.17"/>
    <n v="48.4"/>
    <s v="Current"/>
    <n v="0"/>
    <x v="0"/>
    <n v="63"/>
    <s v="MN"/>
    <s v="Associate"/>
    <s v="Self-Employed"/>
    <x v="7"/>
    <n v="60720"/>
    <n v="830"/>
    <s v="Rent"/>
    <n v="3"/>
    <n v="1566"/>
    <x v="3"/>
    <x v="1"/>
    <x v="0"/>
    <x v="0"/>
  </r>
  <r>
    <s v="LN-00478"/>
    <s v="BRW-0399"/>
    <d v="2024-10-03T00:00:00"/>
    <s v="Business Loan"/>
    <x v="228"/>
    <n v="36"/>
    <n v="13.44"/>
    <n v="1108.74"/>
    <n v="24.4"/>
    <s v="Paid Off"/>
    <n v="0"/>
    <x v="0"/>
    <n v="66"/>
    <s v="MN"/>
    <s v="Master"/>
    <s v="Full-Time"/>
    <x v="24"/>
    <n v="111374"/>
    <n v="672"/>
    <s v="Mortgage"/>
    <n v="2"/>
    <n v="1153"/>
    <x v="4"/>
    <x v="2"/>
    <x v="1"/>
    <x v="2"/>
  </r>
  <r>
    <s v="LN-00479"/>
    <s v="BRW-0400"/>
    <d v="2025-01-12T00:00:00"/>
    <s v="Business Loan"/>
    <x v="16"/>
    <n v="36"/>
    <n v="13.08"/>
    <n v="67.459999999999994"/>
    <n v="15.9"/>
    <s v="Late"/>
    <n v="15"/>
    <x v="0"/>
    <n v="57"/>
    <s v="OK"/>
    <s v="Master"/>
    <s v="Part-Time"/>
    <x v="30"/>
    <n v="30579"/>
    <n v="605"/>
    <s v="Rent"/>
    <n v="1"/>
    <n v="338"/>
    <x v="1"/>
    <x v="2"/>
    <x v="1"/>
    <x v="2"/>
  </r>
  <r>
    <s v="LN-00480"/>
    <s v="BRW-0400"/>
    <d v="2024-02-28T00:00:00"/>
    <s v="Auto Loan"/>
    <x v="12"/>
    <n v="60"/>
    <n v="11.39"/>
    <n v="344.42"/>
    <n v="26.8"/>
    <s v="Current"/>
    <n v="0"/>
    <x v="0"/>
    <n v="57"/>
    <s v="OK"/>
    <s v="Master"/>
    <s v="Part-Time"/>
    <x v="30"/>
    <n v="30579"/>
    <n v="605"/>
    <s v="Rent"/>
    <n v="1"/>
    <n v="338"/>
    <x v="1"/>
    <x v="2"/>
    <x v="1"/>
    <x v="1"/>
  </r>
  <r>
    <s v="LN-00481"/>
    <s v="BRW-0401"/>
    <d v="2024-04-18T00:00:00"/>
    <s v="Auto Loan"/>
    <x v="308"/>
    <n v="60"/>
    <n v="10.14"/>
    <n v="449.77"/>
    <n v="29.5"/>
    <s v="Paid Off"/>
    <n v="0"/>
    <x v="0"/>
    <n v="53"/>
    <s v="WA"/>
    <s v="Associate"/>
    <s v="Full-Time"/>
    <x v="7"/>
    <n v="42250"/>
    <n v="789"/>
    <s v="Mortgage"/>
    <n v="1"/>
    <n v="589"/>
    <x v="3"/>
    <x v="2"/>
    <x v="1"/>
    <x v="1"/>
  </r>
  <r>
    <s v="LN-00482"/>
    <s v="BRW-0402"/>
    <d v="2024-07-27T00:00:00"/>
    <s v="Wedding"/>
    <x v="188"/>
    <n v="24"/>
    <n v="8.6199999999999992"/>
    <n v="923.86"/>
    <n v="49.5"/>
    <s v="Paid Off"/>
    <n v="0"/>
    <x v="0"/>
    <n v="51"/>
    <s v="TN"/>
    <s v="Bachelor"/>
    <s v="Part-Time"/>
    <x v="12"/>
    <n v="25418"/>
    <n v="780"/>
    <s v="Mortgage"/>
    <n v="2"/>
    <n v="124"/>
    <x v="3"/>
    <x v="1"/>
    <x v="1"/>
    <x v="0"/>
  </r>
  <r>
    <s v="LN-00483"/>
    <s v="BRW-0403"/>
    <d v="2024-04-05T00:00:00"/>
    <s v="Business Loan"/>
    <x v="93"/>
    <n v="24"/>
    <n v="14.99"/>
    <n v="606.02"/>
    <n v="82"/>
    <s v="Default"/>
    <n v="147"/>
    <x v="1"/>
    <n v="47"/>
    <s v="WI"/>
    <s v="Bachelor"/>
    <s v="Part-Time"/>
    <x v="26"/>
    <n v="22335"/>
    <n v="571"/>
    <s v="Mortgage"/>
    <n v="2"/>
    <n v="921"/>
    <x v="0"/>
    <x v="3"/>
    <x v="1"/>
    <x v="2"/>
  </r>
  <r>
    <s v="LN-00484"/>
    <s v="BRW-0404"/>
    <d v="2024-01-22T00:00:00"/>
    <s v="Medical Expenses"/>
    <x v="266"/>
    <n v="24"/>
    <n v="11.22"/>
    <n v="934.2"/>
    <n v="48.3"/>
    <s v="Late"/>
    <n v="15"/>
    <x v="0"/>
    <n v="57"/>
    <s v="OK"/>
    <s v="Associate"/>
    <s v="Self-Employed"/>
    <x v="20"/>
    <n v="73306"/>
    <n v="721"/>
    <s v="Rent"/>
    <n v="1"/>
    <n v="2016"/>
    <x v="2"/>
    <x v="1"/>
    <x v="0"/>
    <x v="0"/>
  </r>
  <r>
    <s v="LN-00485"/>
    <s v="BRW-0405"/>
    <d v="2025-02-16T00:00:00"/>
    <s v="Business Loan"/>
    <x v="309"/>
    <n v="24"/>
    <n v="9.51"/>
    <n v="165.31"/>
    <n v="25.2"/>
    <s v="Paid Off"/>
    <n v="0"/>
    <x v="0"/>
    <n v="61"/>
    <s v="MN"/>
    <s v="Bachelor"/>
    <s v="Self-Employed"/>
    <x v="23"/>
    <n v="63778"/>
    <n v="766"/>
    <s v="Own"/>
    <n v="0"/>
    <n v="1172"/>
    <x v="3"/>
    <x v="2"/>
    <x v="0"/>
    <x v="2"/>
  </r>
  <r>
    <s v="LN-00486"/>
    <s v="BRW-0406"/>
    <d v="2024-02-14T00:00:00"/>
    <s v="Wedding"/>
    <x v="139"/>
    <n v="12"/>
    <n v="14.07"/>
    <n v="1832.33"/>
    <n v="59"/>
    <s v="Default"/>
    <n v="51"/>
    <x v="1"/>
    <n v="62"/>
    <s v="TN"/>
    <s v="Doctorate"/>
    <s v="Full-Time"/>
    <x v="9"/>
    <n v="121047"/>
    <n v="604"/>
    <s v="Rent"/>
    <n v="0"/>
    <n v="4119"/>
    <x v="1"/>
    <x v="0"/>
    <x v="1"/>
    <x v="0"/>
  </r>
  <r>
    <s v="LN-00487"/>
    <s v="BRW-0406"/>
    <d v="2024-01-10T00:00:00"/>
    <s v="Auto Loan"/>
    <x v="184"/>
    <n v="12"/>
    <n v="13.9"/>
    <n v="2880.66"/>
    <n v="69.400000000000006"/>
    <s v="Paid Off"/>
    <n v="0"/>
    <x v="0"/>
    <n v="62"/>
    <s v="TN"/>
    <s v="Doctorate"/>
    <s v="Full-Time"/>
    <x v="9"/>
    <n v="121047"/>
    <n v="604"/>
    <s v="Rent"/>
    <n v="0"/>
    <n v="4119"/>
    <x v="1"/>
    <x v="0"/>
    <x v="1"/>
    <x v="1"/>
  </r>
  <r>
    <s v="LN-00488"/>
    <s v="BRW-0407"/>
    <d v="2024-06-16T00:00:00"/>
    <s v="Home Improvement"/>
    <x v="132"/>
    <n v="60"/>
    <n v="14.61"/>
    <n v="351.43"/>
    <n v="48.8"/>
    <s v="Default"/>
    <n v="152"/>
    <x v="1"/>
    <n v="68"/>
    <s v="OR"/>
    <s v="Bachelor"/>
    <s v="Full-Time"/>
    <x v="26"/>
    <n v="53099"/>
    <n v="591"/>
    <s v="Own"/>
    <n v="2"/>
    <n v="1807"/>
    <x v="0"/>
    <x v="1"/>
    <x v="1"/>
    <x v="2"/>
  </r>
  <r>
    <s v="LN-00489"/>
    <s v="BRW-0408"/>
    <d v="2024-02-15T00:00:00"/>
    <s v="Debt Consolidation"/>
    <x v="165"/>
    <n v="60"/>
    <n v="6.52"/>
    <n v="289.72000000000003"/>
    <n v="37.6"/>
    <s v="Default"/>
    <n v="105"/>
    <x v="1"/>
    <n v="28"/>
    <s v="MA"/>
    <s v="Master"/>
    <s v="Full-Time"/>
    <x v="18"/>
    <n v="108932"/>
    <n v="846"/>
    <s v="Rent"/>
    <n v="1"/>
    <n v="3128"/>
    <x v="3"/>
    <x v="1"/>
    <x v="1"/>
    <x v="1"/>
  </r>
  <r>
    <s v="LN-00490"/>
    <s v="BRW-0409"/>
    <d v="2025-01-29T00:00:00"/>
    <s v="Major Purchase"/>
    <x v="302"/>
    <n v="12"/>
    <n v="11.9"/>
    <n v="1580.68"/>
    <n v="90.2"/>
    <s v="Default"/>
    <n v="103"/>
    <x v="1"/>
    <n v="54"/>
    <s v="TN"/>
    <s v="High School"/>
    <s v="Full-Time"/>
    <x v="25"/>
    <n v="41068"/>
    <n v="554"/>
    <s v="Rent"/>
    <n v="3"/>
    <n v="1507"/>
    <x v="0"/>
    <x v="3"/>
    <x v="1"/>
    <x v="1"/>
  </r>
  <r>
    <s v="LN-00491"/>
    <s v="BRW-0410"/>
    <d v="2024-04-22T00:00:00"/>
    <s v="Major Purchase"/>
    <x v="7"/>
    <n v="12"/>
    <n v="12.58"/>
    <n v="3235.07"/>
    <n v="72.099999999999994"/>
    <s v="Default"/>
    <n v="102"/>
    <x v="1"/>
    <n v="33"/>
    <s v="WI"/>
    <s v="Bachelor"/>
    <s v="Full-Time"/>
    <x v="0"/>
    <n v="92612"/>
    <n v="593"/>
    <s v="Rent"/>
    <n v="3"/>
    <n v="2331"/>
    <x v="0"/>
    <x v="0"/>
    <x v="1"/>
    <x v="1"/>
  </r>
  <r>
    <s v="LN-00492"/>
    <s v="BRW-0411"/>
    <d v="2024-06-03T00:00:00"/>
    <s v="Wedding"/>
    <x v="199"/>
    <n v="12"/>
    <n v="13.53"/>
    <n v="1173.32"/>
    <n v="57.8"/>
    <s v="Default"/>
    <n v="165"/>
    <x v="1"/>
    <n v="46"/>
    <s v="NJ"/>
    <s v="Bachelor"/>
    <s v="Part-Time"/>
    <x v="5"/>
    <n v="46630"/>
    <n v="657"/>
    <s v="Mortgage"/>
    <n v="4"/>
    <n v="1074"/>
    <x v="4"/>
    <x v="0"/>
    <x v="1"/>
    <x v="0"/>
  </r>
  <r>
    <s v="LN-00493"/>
    <s v="BRW-0412"/>
    <d v="2024-10-20T00:00:00"/>
    <s v="Medical Expenses"/>
    <x v="310"/>
    <n v="36"/>
    <n v="10.01"/>
    <n v="212.99"/>
    <n v="49.3"/>
    <s v="Paid Off"/>
    <n v="0"/>
    <x v="0"/>
    <n v="30"/>
    <s v="MO"/>
    <s v="High School"/>
    <s v="Part-Time"/>
    <x v="1"/>
    <n v="29481"/>
    <n v="787"/>
    <s v="Rent"/>
    <n v="3"/>
    <n v="997"/>
    <x v="3"/>
    <x v="1"/>
    <x v="1"/>
    <x v="0"/>
  </r>
  <r>
    <s v="LN-00494"/>
    <s v="BRW-0413"/>
    <d v="2024-06-01T00:00:00"/>
    <s v="Auto Loan"/>
    <x v="245"/>
    <n v="12"/>
    <n v="12.48"/>
    <n v="3215.55"/>
    <n v="85.5"/>
    <s v="Current"/>
    <n v="0"/>
    <x v="0"/>
    <n v="57"/>
    <s v="IL"/>
    <s v="Bachelor"/>
    <s v="Full-Time"/>
    <x v="2"/>
    <n v="80421"/>
    <n v="688"/>
    <s v="Rent"/>
    <n v="4"/>
    <n v="2513"/>
    <x v="4"/>
    <x v="3"/>
    <x v="1"/>
    <x v="1"/>
  </r>
  <r>
    <s v="LN-00495"/>
    <s v="BRW-0414"/>
    <d v="2024-10-12T00:00:00"/>
    <s v="Vacation"/>
    <x v="25"/>
    <n v="48"/>
    <n v="14.9"/>
    <n v="205.57"/>
    <n v="56.2"/>
    <s v="Default"/>
    <n v="112"/>
    <x v="1"/>
    <n v="33"/>
    <s v="TN"/>
    <s v="Bachelor"/>
    <s v="Self-Employed"/>
    <x v="15"/>
    <n v="61167"/>
    <n v="594"/>
    <s v="Mortgage"/>
    <n v="2"/>
    <n v="2657"/>
    <x v="0"/>
    <x v="0"/>
    <x v="0"/>
    <x v="0"/>
  </r>
  <r>
    <s v="LN-00496"/>
    <s v="BRW-0415"/>
    <d v="2025-02-27T00:00:00"/>
    <s v="Medical Expenses"/>
    <x v="311"/>
    <n v="48"/>
    <n v="10.69"/>
    <n v="485.64"/>
    <n v="30.2"/>
    <s v="Current"/>
    <n v="0"/>
    <x v="0"/>
    <n v="67"/>
    <s v="IN"/>
    <s v="Bachelor"/>
    <s v="Self-Employed"/>
    <x v="25"/>
    <n v="94280"/>
    <n v="686"/>
    <s v="Rent"/>
    <n v="0"/>
    <n v="1889"/>
    <x v="4"/>
    <x v="2"/>
    <x v="0"/>
    <x v="0"/>
  </r>
  <r>
    <s v="LN-00497"/>
    <s v="BRW-0415"/>
    <d v="2025-06-29T00:00:00"/>
    <s v="Business Loan"/>
    <x v="9"/>
    <n v="60"/>
    <n v="11.24"/>
    <n v="620.89"/>
    <n v="31.9"/>
    <s v="Current"/>
    <n v="0"/>
    <x v="0"/>
    <n v="67"/>
    <s v="IN"/>
    <s v="Bachelor"/>
    <s v="Self-Employed"/>
    <x v="25"/>
    <n v="94280"/>
    <n v="686"/>
    <s v="Rent"/>
    <n v="0"/>
    <n v="1889"/>
    <x v="4"/>
    <x v="2"/>
    <x v="0"/>
    <x v="2"/>
  </r>
  <r>
    <s v="LN-00498"/>
    <s v="BRW-0416"/>
    <d v="2024-08-28T00:00:00"/>
    <s v="Moving"/>
    <x v="312"/>
    <n v="24"/>
    <n v="13.15"/>
    <n v="1680.71"/>
    <n v="62.3"/>
    <s v="Paid Off"/>
    <n v="0"/>
    <x v="0"/>
    <n v="25"/>
    <s v="IL"/>
    <s v="Bachelor"/>
    <s v="Full-Time"/>
    <x v="9"/>
    <n v="88461"/>
    <n v="622"/>
    <s v="Rent"/>
    <n v="3"/>
    <n v="2914"/>
    <x v="1"/>
    <x v="0"/>
    <x v="1"/>
    <x v="0"/>
  </r>
  <r>
    <s v="LN-00499"/>
    <s v="BRW-0417"/>
    <d v="2025-01-04T00:00:00"/>
    <s v="Vacation"/>
    <x v="29"/>
    <n v="12"/>
    <n v="11.87"/>
    <n v="4102"/>
    <n v="155.30000000000001"/>
    <s v="Late"/>
    <n v="15"/>
    <x v="0"/>
    <n v="40"/>
    <s v="MN"/>
    <s v="Associate"/>
    <s v="Full-Time"/>
    <x v="20"/>
    <n v="45971"/>
    <n v="761"/>
    <s v="Mortgage"/>
    <n v="2"/>
    <n v="1848"/>
    <x v="3"/>
    <x v="3"/>
    <x v="1"/>
    <x v="0"/>
  </r>
  <r>
    <s v="LN-00500"/>
    <s v="BRW-0418"/>
    <d v="2024-08-17T00:00:00"/>
    <s v="Medical Expenses"/>
    <x v="313"/>
    <n v="48"/>
    <n v="9.76"/>
    <n v="719.55"/>
    <n v="53.9"/>
    <s v="Default"/>
    <n v="65"/>
    <x v="1"/>
    <n v="63"/>
    <s v="WA"/>
    <s v="Bachelor"/>
    <s v="Full-Time"/>
    <x v="20"/>
    <n v="90638"/>
    <n v="687"/>
    <s v="Rent"/>
    <n v="1"/>
    <n v="3354"/>
    <x v="4"/>
    <x v="0"/>
    <x v="1"/>
    <x v="0"/>
  </r>
  <r>
    <s v="LN-00501"/>
    <s v="BRW-0419"/>
    <d v="2024-04-18T00:00:00"/>
    <s v="Medical Expenses"/>
    <x v="314"/>
    <n v="48"/>
    <n v="11.06"/>
    <n v="59.51"/>
    <n v="31.5"/>
    <s v="Paid Off"/>
    <n v="0"/>
    <x v="0"/>
    <n v="65"/>
    <s v="LA"/>
    <s v="Associate"/>
    <s v="Part-Time"/>
    <x v="15"/>
    <n v="16498"/>
    <n v="648"/>
    <s v="Mortgage"/>
    <n v="3"/>
    <n v="373"/>
    <x v="1"/>
    <x v="2"/>
    <x v="1"/>
    <x v="0"/>
  </r>
  <r>
    <s v="LN-00502"/>
    <s v="BRW-0420"/>
    <d v="2025-03-02T00:00:00"/>
    <s v="Debt Consolidation"/>
    <x v="241"/>
    <n v="24"/>
    <n v="6.29"/>
    <n v="391.17"/>
    <n v="18.100000000000001"/>
    <s v="Paid Off"/>
    <n v="0"/>
    <x v="0"/>
    <n v="36"/>
    <s v="OH"/>
    <s v="Master"/>
    <s v="Self-Employed"/>
    <x v="0"/>
    <n v="110166"/>
    <n v="846"/>
    <s v="Rent"/>
    <n v="0"/>
    <n v="1273"/>
    <x v="3"/>
    <x v="2"/>
    <x v="0"/>
    <x v="1"/>
  </r>
  <r>
    <s v="LN-00503"/>
    <s v="BRW-0420"/>
    <d v="2025-03-30T00:00:00"/>
    <s v="Moving"/>
    <x v="31"/>
    <n v="48"/>
    <n v="9.51"/>
    <n v="412.1"/>
    <n v="18.399999999999999"/>
    <s v="Current"/>
    <n v="0"/>
    <x v="0"/>
    <n v="36"/>
    <s v="OH"/>
    <s v="Master"/>
    <s v="Self-Employed"/>
    <x v="0"/>
    <n v="110166"/>
    <n v="846"/>
    <s v="Rent"/>
    <n v="0"/>
    <n v="1273"/>
    <x v="3"/>
    <x v="2"/>
    <x v="0"/>
    <x v="0"/>
  </r>
  <r>
    <s v="LN-00504"/>
    <s v="BRW-0421"/>
    <d v="2025-03-09T00:00:00"/>
    <s v="Debt Consolidation"/>
    <x v="40"/>
    <n v="24"/>
    <n v="10.29"/>
    <n v="314.7"/>
    <n v="24.5"/>
    <s v="Late"/>
    <n v="15"/>
    <x v="0"/>
    <n v="65"/>
    <s v="NC"/>
    <s v="High School"/>
    <s v="Retired"/>
    <x v="31"/>
    <n v="28964"/>
    <n v="586"/>
    <s v="Own"/>
    <n v="2"/>
    <n v="277"/>
    <x v="0"/>
    <x v="2"/>
    <x v="2"/>
    <x v="1"/>
  </r>
  <r>
    <s v="LN-00505"/>
    <s v="BRW-0422"/>
    <d v="2024-10-05T00:00:00"/>
    <s v="Wedding"/>
    <x v="315"/>
    <n v="48"/>
    <n v="14.34"/>
    <n v="989.9"/>
    <n v="56.2"/>
    <s v="Paid Off"/>
    <n v="0"/>
    <x v="0"/>
    <n v="59"/>
    <s v="NJ"/>
    <s v="Master"/>
    <s v="Full-Time"/>
    <x v="9"/>
    <n v="94611"/>
    <n v="619"/>
    <s v="Own"/>
    <n v="2"/>
    <n v="3444"/>
    <x v="1"/>
    <x v="0"/>
    <x v="1"/>
    <x v="0"/>
  </r>
  <r>
    <s v="LN-00506"/>
    <s v="BRW-0422"/>
    <d v="2024-07-07T00:00:00"/>
    <s v="Medical Expenses"/>
    <x v="138"/>
    <n v="12"/>
    <n v="10.78"/>
    <n v="1871.52"/>
    <n v="67.400000000000006"/>
    <s v="Late"/>
    <n v="30"/>
    <x v="0"/>
    <n v="59"/>
    <s v="NJ"/>
    <s v="Master"/>
    <s v="Full-Time"/>
    <x v="9"/>
    <n v="94611"/>
    <n v="619"/>
    <s v="Own"/>
    <n v="2"/>
    <n v="3444"/>
    <x v="1"/>
    <x v="0"/>
    <x v="1"/>
    <x v="0"/>
  </r>
  <r>
    <s v="LN-00507"/>
    <s v="BRW-0423"/>
    <d v="2024-06-17T00:00:00"/>
    <s v="Vacation"/>
    <x v="226"/>
    <n v="48"/>
    <n v="10.34"/>
    <n v="850.02"/>
    <n v="45.4"/>
    <s v="Default"/>
    <n v="125"/>
    <x v="1"/>
    <n v="62"/>
    <s v="KY"/>
    <s v="Bachelor"/>
    <s v="Self-Employed"/>
    <x v="34"/>
    <n v="71897"/>
    <n v="828"/>
    <s v="Mortgage"/>
    <n v="2"/>
    <n v="1873"/>
    <x v="3"/>
    <x v="1"/>
    <x v="0"/>
    <x v="0"/>
  </r>
  <r>
    <s v="LN-00508"/>
    <s v="BRW-0424"/>
    <d v="2024-12-09T00:00:00"/>
    <s v="Business Loan"/>
    <x v="100"/>
    <n v="36"/>
    <n v="9.5500000000000007"/>
    <n v="163.49"/>
    <n v="19.5"/>
    <s v="Default"/>
    <n v="102"/>
    <x v="1"/>
    <n v="33"/>
    <s v="VA"/>
    <s v="Bachelor"/>
    <s v="Self-Employed"/>
    <x v="5"/>
    <n v="50767"/>
    <n v="808"/>
    <s v="Mortgage"/>
    <n v="0"/>
    <n v="662"/>
    <x v="3"/>
    <x v="2"/>
    <x v="0"/>
    <x v="2"/>
  </r>
  <r>
    <s v="LN-00509"/>
    <s v="BRW-0425"/>
    <d v="2024-07-25T00:00:00"/>
    <s v="Home Improvement"/>
    <x v="122"/>
    <n v="36"/>
    <n v="6.77"/>
    <n v="535.42999999999995"/>
    <n v="62.8"/>
    <s v="Current"/>
    <n v="0"/>
    <x v="0"/>
    <n v="43"/>
    <s v="MO"/>
    <s v="Associate"/>
    <s v="Full-Time"/>
    <x v="19"/>
    <n v="73304"/>
    <n v="850"/>
    <s v="Mortgage"/>
    <n v="3"/>
    <n v="3302"/>
    <x v="3"/>
    <x v="0"/>
    <x v="1"/>
    <x v="2"/>
  </r>
  <r>
    <s v="LN-00510"/>
    <s v="BRW-0426"/>
    <d v="2024-11-18T00:00:00"/>
    <s v="Wedding"/>
    <x v="90"/>
    <n v="48"/>
    <n v="6.06"/>
    <n v="253.94"/>
    <n v="49"/>
    <s v="Default"/>
    <n v="109"/>
    <x v="1"/>
    <n v="22"/>
    <s v="GA"/>
    <s v="High School"/>
    <s v="Full-Time"/>
    <x v="9"/>
    <n v="30860"/>
    <n v="850"/>
    <s v="Rent"/>
    <n v="4"/>
    <n v="1006"/>
    <x v="3"/>
    <x v="1"/>
    <x v="1"/>
    <x v="0"/>
  </r>
  <r>
    <s v="LN-00511"/>
    <s v="BRW-0426"/>
    <d v="2024-11-18T00:00:00"/>
    <s v="Debt Consolidation"/>
    <x v="103"/>
    <n v="48"/>
    <n v="8.33"/>
    <n v="854.97"/>
    <n v="72.400000000000006"/>
    <s v="Paid Off"/>
    <n v="0"/>
    <x v="0"/>
    <n v="22"/>
    <s v="GA"/>
    <s v="High School"/>
    <s v="Full-Time"/>
    <x v="9"/>
    <n v="30860"/>
    <n v="850"/>
    <s v="Rent"/>
    <n v="4"/>
    <n v="1006"/>
    <x v="3"/>
    <x v="0"/>
    <x v="1"/>
    <x v="1"/>
  </r>
  <r>
    <s v="LN-00512"/>
    <s v="BRW-0427"/>
    <d v="2024-06-02T00:00:00"/>
    <s v="Home Improvement"/>
    <x v="224"/>
    <n v="60"/>
    <n v="9.49"/>
    <n v="632.01"/>
    <n v="61.9"/>
    <s v="Default"/>
    <n v="127"/>
    <x v="1"/>
    <n v="42"/>
    <s v="CA"/>
    <s v="Bachelor"/>
    <s v="Self-Employed"/>
    <x v="13"/>
    <n v="47833"/>
    <n v="661"/>
    <s v="Rent"/>
    <n v="3"/>
    <n v="1837"/>
    <x v="4"/>
    <x v="0"/>
    <x v="0"/>
    <x v="2"/>
  </r>
  <r>
    <s v="LN-00513"/>
    <s v="BRW-0428"/>
    <d v="2024-04-05T00:00:00"/>
    <s v="Debt Consolidation"/>
    <x v="316"/>
    <n v="48"/>
    <n v="8.9600000000000009"/>
    <n v="216.33"/>
    <n v="13.4"/>
    <s v="Current"/>
    <n v="0"/>
    <x v="0"/>
    <n v="45"/>
    <s v="IN"/>
    <s v="Bachelor"/>
    <s v="Full-Time"/>
    <x v="28"/>
    <n v="71658"/>
    <n v="686"/>
    <s v="Own"/>
    <n v="0"/>
    <n v="585"/>
    <x v="4"/>
    <x v="2"/>
    <x v="1"/>
    <x v="1"/>
  </r>
  <r>
    <s v="LN-00514"/>
    <s v="BRW-0429"/>
    <d v="2025-06-19T00:00:00"/>
    <s v="Medical Expenses"/>
    <x v="317"/>
    <n v="60"/>
    <n v="8.4600000000000009"/>
    <n v="153.72999999999999"/>
    <n v="21.5"/>
    <s v="Paid Off"/>
    <n v="0"/>
    <x v="0"/>
    <n v="56"/>
    <s v="AZ"/>
    <s v="Bachelor"/>
    <s v="Part-Time"/>
    <x v="14"/>
    <n v="29725"/>
    <n v="847"/>
    <s v="Rent"/>
    <n v="3"/>
    <n v="378"/>
    <x v="3"/>
    <x v="2"/>
    <x v="1"/>
    <x v="0"/>
  </r>
  <r>
    <s v="LN-00515"/>
    <s v="BRW-0430"/>
    <d v="2025-01-31T00:00:00"/>
    <s v="Education"/>
    <x v="318"/>
    <n v="12"/>
    <n v="14.85"/>
    <n v="4247.83"/>
    <n v="64.8"/>
    <s v="Default"/>
    <n v="49"/>
    <x v="1"/>
    <n v="66"/>
    <s v="SC"/>
    <s v="Master"/>
    <s v="Self-Employed"/>
    <x v="11"/>
    <n v="91943"/>
    <n v="576"/>
    <s v="Own"/>
    <n v="1"/>
    <n v="718"/>
    <x v="0"/>
    <x v="0"/>
    <x v="0"/>
    <x v="2"/>
  </r>
  <r>
    <s v="LN-00516"/>
    <s v="BRW-0431"/>
    <d v="2024-11-12T00:00:00"/>
    <s v="Wedding"/>
    <x v="170"/>
    <n v="12"/>
    <n v="10.029999999999999"/>
    <n v="1231.02"/>
    <n v="86"/>
    <s v="Late"/>
    <n v="30"/>
    <x v="0"/>
    <n v="25"/>
    <s v="MA"/>
    <s v="High School"/>
    <s v="Full-Time"/>
    <x v="9"/>
    <n v="24879"/>
    <n v="641"/>
    <s v="Mortgage"/>
    <n v="2"/>
    <n v="552"/>
    <x v="1"/>
    <x v="3"/>
    <x v="1"/>
    <x v="0"/>
  </r>
  <r>
    <s v="LN-00517"/>
    <s v="BRW-0431"/>
    <d v="2024-06-14T00:00:00"/>
    <s v="Home Improvement"/>
    <x v="280"/>
    <n v="24"/>
    <n v="13.99"/>
    <n v="542.49"/>
    <n v="52.8"/>
    <s v="Default"/>
    <n v="177"/>
    <x v="1"/>
    <n v="25"/>
    <s v="MA"/>
    <s v="High School"/>
    <s v="Full-Time"/>
    <x v="9"/>
    <n v="24879"/>
    <n v="641"/>
    <s v="Mortgage"/>
    <n v="2"/>
    <n v="552"/>
    <x v="1"/>
    <x v="0"/>
    <x v="1"/>
    <x v="2"/>
  </r>
  <r>
    <s v="LN-00518"/>
    <s v="BRW-0432"/>
    <d v="2025-04-29T00:00:00"/>
    <s v="Home Improvement"/>
    <x v="319"/>
    <n v="48"/>
    <n v="7.19"/>
    <n v="283.61"/>
    <n v="55.7"/>
    <s v="Current"/>
    <n v="0"/>
    <x v="0"/>
    <n v="23"/>
    <s v="MD"/>
    <s v="Bachelor"/>
    <s v="Full-Time"/>
    <x v="10"/>
    <n v="40976"/>
    <n v="846"/>
    <s v="Rent"/>
    <n v="0"/>
    <n v="1618"/>
    <x v="3"/>
    <x v="0"/>
    <x v="1"/>
    <x v="2"/>
  </r>
  <r>
    <s v="LN-00519"/>
    <s v="BRW-0433"/>
    <d v="2025-02-14T00:00:00"/>
    <s v="Home Improvement"/>
    <x v="125"/>
    <n v="36"/>
    <n v="12.56"/>
    <n v="850.45"/>
    <n v="32.4"/>
    <s v="Late"/>
    <n v="0"/>
    <x v="0"/>
    <n v="44"/>
    <s v="LA"/>
    <s v="Master"/>
    <s v="Full-Time"/>
    <x v="3"/>
    <n v="122115"/>
    <n v="704"/>
    <s v="Own"/>
    <n v="3"/>
    <n v="2449"/>
    <x v="2"/>
    <x v="2"/>
    <x v="1"/>
    <x v="2"/>
  </r>
  <r>
    <s v="LN-00520"/>
    <s v="BRW-0433"/>
    <d v="2025-02-27T00:00:00"/>
    <s v="Vacation"/>
    <x v="320"/>
    <n v="36"/>
    <n v="10.14"/>
    <n v="1377.38"/>
    <n v="37.6"/>
    <s v="Paid Off"/>
    <n v="0"/>
    <x v="0"/>
    <n v="44"/>
    <s v="LA"/>
    <s v="Master"/>
    <s v="Full-Time"/>
    <x v="3"/>
    <n v="122115"/>
    <n v="704"/>
    <s v="Own"/>
    <n v="3"/>
    <n v="2449"/>
    <x v="2"/>
    <x v="1"/>
    <x v="1"/>
    <x v="0"/>
  </r>
  <r>
    <s v="LN-00521"/>
    <s v="BRW-0434"/>
    <d v="2024-01-09T00:00:00"/>
    <s v="Wedding"/>
    <x v="121"/>
    <n v="24"/>
    <n v="11.42"/>
    <n v="205.93"/>
    <n v="47.1"/>
    <s v="Current"/>
    <n v="0"/>
    <x v="0"/>
    <n v="64"/>
    <s v="CO"/>
    <s v="High School"/>
    <s v="Full-Time"/>
    <x v="17"/>
    <n v="30139"/>
    <n v="725"/>
    <s v="Mortgage"/>
    <n v="0"/>
    <n v="976"/>
    <x v="2"/>
    <x v="1"/>
    <x v="1"/>
    <x v="0"/>
  </r>
  <r>
    <s v="LN-00522"/>
    <s v="BRW-0435"/>
    <d v="2025-04-24T00:00:00"/>
    <s v="Home Improvement"/>
    <x v="126"/>
    <n v="12"/>
    <n v="8.26"/>
    <n v="1097.57"/>
    <n v="77.8"/>
    <s v="Late"/>
    <n v="15"/>
    <x v="0"/>
    <n v="68"/>
    <s v="CA"/>
    <s v="Bachelor"/>
    <s v="Retired"/>
    <x v="11"/>
    <n v="24786"/>
    <n v="809"/>
    <s v="Own"/>
    <n v="2"/>
    <n v="510"/>
    <x v="3"/>
    <x v="3"/>
    <x v="2"/>
    <x v="2"/>
  </r>
  <r>
    <s v="LN-00523"/>
    <s v="BRW-0436"/>
    <d v="2024-12-02T00:00:00"/>
    <s v="Home Improvement"/>
    <x v="321"/>
    <n v="48"/>
    <n v="8.98"/>
    <n v="1151.74"/>
    <n v="23.8"/>
    <s v="Late"/>
    <n v="0"/>
    <x v="0"/>
    <n v="57"/>
    <s v="CO"/>
    <s v="Master"/>
    <s v="Full-Time"/>
    <x v="14"/>
    <n v="118803"/>
    <n v="721"/>
    <s v="Mortgage"/>
    <n v="3"/>
    <n v="1200"/>
    <x v="2"/>
    <x v="2"/>
    <x v="1"/>
    <x v="2"/>
  </r>
  <r>
    <s v="LN-00524"/>
    <s v="BRW-0437"/>
    <d v="2025-04-26T00:00:00"/>
    <s v="Vacation"/>
    <x v="316"/>
    <n v="60"/>
    <n v="10.5"/>
    <n v="187"/>
    <n v="48.4"/>
    <s v="Default"/>
    <n v="84"/>
    <x v="1"/>
    <n v="33"/>
    <s v="OK"/>
    <s v="Associate"/>
    <s v="Contract"/>
    <x v="16"/>
    <n v="38377"/>
    <n v="617"/>
    <s v="Rent"/>
    <n v="0"/>
    <n v="1360"/>
    <x v="1"/>
    <x v="1"/>
    <x v="1"/>
    <x v="0"/>
  </r>
  <r>
    <s v="LN-00525"/>
    <s v="BRW-0438"/>
    <d v="2025-01-05T00:00:00"/>
    <s v="Debt Consolidation"/>
    <x v="6"/>
    <n v="12"/>
    <n v="15.28"/>
    <n v="3543.31"/>
    <n v="124.5"/>
    <s v="Late"/>
    <n v="30"/>
    <x v="0"/>
    <n v="57"/>
    <s v="AL"/>
    <s v="Bachelor"/>
    <s v="Full-Time"/>
    <x v="19"/>
    <n v="59143"/>
    <n v="564"/>
    <s v="Own"/>
    <n v="2"/>
    <n v="2591"/>
    <x v="0"/>
    <x v="3"/>
    <x v="1"/>
    <x v="1"/>
  </r>
  <r>
    <s v="LN-00526"/>
    <s v="BRW-0439"/>
    <d v="2024-06-29T00:00:00"/>
    <s v="Debt Consolidation"/>
    <x v="60"/>
    <n v="36"/>
    <n v="7.23"/>
    <n v="811.74"/>
    <n v="59"/>
    <s v="Default"/>
    <n v="47"/>
    <x v="1"/>
    <n v="44"/>
    <s v="NJ"/>
    <s v="High School"/>
    <s v="Self-Employed"/>
    <x v="9"/>
    <n v="25921"/>
    <n v="842"/>
    <s v="Rent"/>
    <n v="1"/>
    <n v="462"/>
    <x v="3"/>
    <x v="0"/>
    <x v="0"/>
    <x v="1"/>
  </r>
  <r>
    <s v="LN-00527"/>
    <s v="BRW-0440"/>
    <d v="2024-09-22T00:00:00"/>
    <s v="Home Improvement"/>
    <x v="132"/>
    <n v="48"/>
    <n v="10.77"/>
    <n v="383.44"/>
    <n v="32.4"/>
    <s v="Paid Off"/>
    <n v="0"/>
    <x v="0"/>
    <n v="64"/>
    <s v="PA"/>
    <s v="Associate"/>
    <s v="Part-Time"/>
    <x v="28"/>
    <n v="30540"/>
    <n v="711"/>
    <s v="Rent"/>
    <n v="0"/>
    <n v="440"/>
    <x v="2"/>
    <x v="2"/>
    <x v="1"/>
    <x v="2"/>
  </r>
  <r>
    <s v="LN-00528"/>
    <s v="BRW-0441"/>
    <d v="2024-06-13T00:00:00"/>
    <s v="Auto Loan"/>
    <x v="241"/>
    <n v="48"/>
    <n v="10.51"/>
    <n v="225.35"/>
    <n v="34.4"/>
    <s v="Paid Off"/>
    <n v="0"/>
    <x v="0"/>
    <n v="36"/>
    <s v="NJ"/>
    <s v="Master"/>
    <s v="Part-Time"/>
    <x v="1"/>
    <n v="43086"/>
    <n v="714"/>
    <s v="Rent"/>
    <n v="3"/>
    <n v="1010"/>
    <x v="2"/>
    <x v="2"/>
    <x v="1"/>
    <x v="1"/>
  </r>
  <r>
    <s v="LN-00529"/>
    <s v="BRW-0442"/>
    <d v="2024-05-28T00:00:00"/>
    <s v="Debt Consolidation"/>
    <x v="322"/>
    <n v="24"/>
    <n v="6.22"/>
    <n v="1994.45"/>
    <n v="49.4"/>
    <s v="Late"/>
    <n v="30"/>
    <x v="0"/>
    <n v="44"/>
    <s v="NC"/>
    <s v="Master"/>
    <s v="Full-Time"/>
    <x v="3"/>
    <n v="63937"/>
    <n v="850"/>
    <s v="Own"/>
    <n v="3"/>
    <n v="639"/>
    <x v="3"/>
    <x v="1"/>
    <x v="1"/>
    <x v="1"/>
  </r>
  <r>
    <s v="LN-00530"/>
    <s v="BRW-0443"/>
    <d v="2024-11-20T00:00:00"/>
    <s v="Education"/>
    <x v="42"/>
    <n v="24"/>
    <n v="13.03"/>
    <n v="608.72"/>
    <n v="50.5"/>
    <s v="Default"/>
    <n v="134"/>
    <x v="1"/>
    <n v="56"/>
    <s v="CO"/>
    <s v="High School"/>
    <s v="Self-Employed"/>
    <x v="18"/>
    <n v="44456"/>
    <n v="568"/>
    <s v="Rent"/>
    <n v="0"/>
    <n v="1263"/>
    <x v="0"/>
    <x v="0"/>
    <x v="0"/>
    <x v="2"/>
  </r>
  <r>
    <s v="LN-00531"/>
    <s v="BRW-0444"/>
    <d v="2024-04-09T00:00:00"/>
    <s v="Debt Consolidation"/>
    <x v="323"/>
    <n v="24"/>
    <n v="12.12"/>
    <n v="2229.23"/>
    <n v="90.1"/>
    <s v="Default"/>
    <n v="78"/>
    <x v="1"/>
    <n v="47"/>
    <s v="MO"/>
    <s v="Master"/>
    <s v="Full-Time"/>
    <x v="13"/>
    <n v="57745"/>
    <n v="663"/>
    <s v="Rent"/>
    <n v="1"/>
    <n v="2105"/>
    <x v="4"/>
    <x v="3"/>
    <x v="1"/>
    <x v="1"/>
  </r>
  <r>
    <s v="LN-00532"/>
    <s v="BRW-0445"/>
    <d v="2024-07-14T00:00:00"/>
    <s v="Moving"/>
    <x v="288"/>
    <n v="24"/>
    <n v="10.36"/>
    <n v="1426.39"/>
    <n v="45.1"/>
    <s v="Current"/>
    <n v="0"/>
    <x v="0"/>
    <n v="45"/>
    <s v="IN"/>
    <s v="Bachelor"/>
    <s v="Contract"/>
    <x v="1"/>
    <n v="78216"/>
    <n v="683"/>
    <s v="Mortgage"/>
    <n v="0"/>
    <n v="1511"/>
    <x v="4"/>
    <x v="1"/>
    <x v="1"/>
    <x v="0"/>
  </r>
  <r>
    <s v="LN-00533"/>
    <s v="BRW-0446"/>
    <d v="2025-04-11T00:00:00"/>
    <s v="Debt Consolidation"/>
    <x v="324"/>
    <n v="12"/>
    <n v="9.33"/>
    <n v="1463"/>
    <n v="32"/>
    <s v="Paid Off"/>
    <n v="0"/>
    <x v="0"/>
    <n v="22"/>
    <s v="IN"/>
    <s v="Bachelor"/>
    <s v="Contract"/>
    <x v="9"/>
    <n v="92057"/>
    <n v="850"/>
    <s v="Own"/>
    <n v="0"/>
    <n v="994"/>
    <x v="3"/>
    <x v="2"/>
    <x v="1"/>
    <x v="1"/>
  </r>
  <r>
    <s v="LN-00534"/>
    <s v="BRW-0446"/>
    <d v="2025-04-14T00:00:00"/>
    <s v="Major Purchase"/>
    <x v="303"/>
    <n v="12"/>
    <n v="10.47"/>
    <n v="3410.81"/>
    <n v="57.4"/>
    <s v="Current"/>
    <n v="0"/>
    <x v="0"/>
    <n v="22"/>
    <s v="IN"/>
    <s v="Bachelor"/>
    <s v="Contract"/>
    <x v="9"/>
    <n v="92057"/>
    <n v="850"/>
    <s v="Own"/>
    <n v="0"/>
    <n v="994"/>
    <x v="3"/>
    <x v="0"/>
    <x v="1"/>
    <x v="1"/>
  </r>
  <r>
    <s v="LN-00535"/>
    <s v="BRW-0447"/>
    <d v="2024-04-11T00:00:00"/>
    <s v="Major Purchase"/>
    <x v="325"/>
    <n v="48"/>
    <n v="9.89"/>
    <n v="852.94"/>
    <n v="15.6"/>
    <s v="Current"/>
    <n v="0"/>
    <x v="0"/>
    <n v="58"/>
    <s v="LA"/>
    <s v="Master"/>
    <s v="Self-Employed"/>
    <x v="2"/>
    <n v="137631"/>
    <n v="797"/>
    <s v="Own"/>
    <n v="1"/>
    <n v="933"/>
    <x v="3"/>
    <x v="2"/>
    <x v="0"/>
    <x v="1"/>
  </r>
  <r>
    <s v="LN-00536"/>
    <s v="BRW-0448"/>
    <d v="2024-04-12T00:00:00"/>
    <s v="Wedding"/>
    <x v="156"/>
    <n v="60"/>
    <n v="12.74"/>
    <n v="158.34"/>
    <n v="10.5"/>
    <s v="Paid Off"/>
    <n v="0"/>
    <x v="0"/>
    <n v="45"/>
    <s v="MA"/>
    <s v="Associate"/>
    <s v="Self-Employed"/>
    <x v="15"/>
    <n v="53326"/>
    <n v="714"/>
    <s v="Mortgage"/>
    <n v="3"/>
    <n v="310"/>
    <x v="2"/>
    <x v="2"/>
    <x v="0"/>
    <x v="0"/>
  </r>
  <r>
    <s v="LN-00537"/>
    <s v="BRW-0449"/>
    <d v="2024-07-19T00:00:00"/>
    <s v="Major Purchase"/>
    <x v="227"/>
    <n v="60"/>
    <n v="10.74"/>
    <n v="507.91"/>
    <n v="49.1"/>
    <s v="Late"/>
    <n v="30"/>
    <x v="0"/>
    <n v="63"/>
    <s v="MD"/>
    <s v="Associate"/>
    <s v="Self-Employed"/>
    <x v="19"/>
    <n v="53487"/>
    <n v="670"/>
    <s v="Mortgage"/>
    <n v="0"/>
    <n v="1679"/>
    <x v="4"/>
    <x v="1"/>
    <x v="0"/>
    <x v="1"/>
  </r>
  <r>
    <s v="LN-00538"/>
    <s v="BRW-0450"/>
    <d v="2025-01-18T00:00:00"/>
    <s v="Vacation"/>
    <x v="224"/>
    <n v="48"/>
    <n v="9.07"/>
    <n v="750.04"/>
    <n v="42.4"/>
    <s v="Current"/>
    <n v="0"/>
    <x v="0"/>
    <n v="45"/>
    <s v="GA"/>
    <s v="Bachelor"/>
    <s v="Contract"/>
    <x v="15"/>
    <n v="45566"/>
    <n v="658"/>
    <s v="Rent"/>
    <n v="1"/>
    <n v="859"/>
    <x v="4"/>
    <x v="1"/>
    <x v="1"/>
    <x v="0"/>
  </r>
  <r>
    <s v="LN-00539"/>
    <s v="BRW-0451"/>
    <d v="2024-01-05T00:00:00"/>
    <s v="Auto Loan"/>
    <x v="326"/>
    <n v="48"/>
    <n v="10.18"/>
    <n v="1023.05"/>
    <n v="52.7"/>
    <s v="Current"/>
    <n v="0"/>
    <x v="0"/>
    <n v="44"/>
    <s v="GA"/>
    <s v="Bachelor"/>
    <s v="Full-Time"/>
    <x v="1"/>
    <n v="79148"/>
    <n v="791"/>
    <s v="Mortgage"/>
    <n v="0"/>
    <n v="2451"/>
    <x v="3"/>
    <x v="0"/>
    <x v="1"/>
    <x v="1"/>
  </r>
  <r>
    <s v="LN-00540"/>
    <s v="BRW-0452"/>
    <d v="2024-06-23T00:00:00"/>
    <s v="Education"/>
    <x v="287"/>
    <n v="60"/>
    <n v="11.75"/>
    <n v="594.98"/>
    <n v="45.4"/>
    <s v="Late"/>
    <n v="30"/>
    <x v="0"/>
    <n v="35"/>
    <s v="NJ"/>
    <s v="High School"/>
    <s v="Full-Time"/>
    <x v="23"/>
    <n v="43591"/>
    <n v="590"/>
    <s v="Mortgage"/>
    <n v="2"/>
    <n v="1056"/>
    <x v="0"/>
    <x v="1"/>
    <x v="1"/>
    <x v="2"/>
  </r>
  <r>
    <s v="LN-00541"/>
    <s v="BRW-0453"/>
    <d v="2025-03-15T00:00:00"/>
    <s v="Business Loan"/>
    <x v="327"/>
    <n v="12"/>
    <n v="11.67"/>
    <n v="1738.41"/>
    <n v="59.4"/>
    <s v="Default"/>
    <n v="129"/>
    <x v="1"/>
    <n v="52"/>
    <s v="IL"/>
    <s v="Bachelor"/>
    <s v="Part-Time"/>
    <x v="18"/>
    <n v="45042"/>
    <n v="740"/>
    <s v="Own"/>
    <n v="2"/>
    <n v="490"/>
    <x v="2"/>
    <x v="0"/>
    <x v="1"/>
    <x v="2"/>
  </r>
  <r>
    <s v="LN-00542"/>
    <s v="BRW-0453"/>
    <d v="2024-04-11T00:00:00"/>
    <s v="Medical Expenses"/>
    <x v="126"/>
    <n v="24"/>
    <n v="9.85"/>
    <n v="580.54999999999995"/>
    <n v="28.5"/>
    <s v="Current"/>
    <n v="0"/>
    <x v="0"/>
    <n v="52"/>
    <s v="IL"/>
    <s v="Bachelor"/>
    <s v="Part-Time"/>
    <x v="18"/>
    <n v="45042"/>
    <n v="740"/>
    <s v="Own"/>
    <n v="2"/>
    <n v="490"/>
    <x v="2"/>
    <x v="2"/>
    <x v="1"/>
    <x v="0"/>
  </r>
  <r>
    <s v="LN-00543"/>
    <s v="BRW-0454"/>
    <d v="2024-06-11T00:00:00"/>
    <s v="Major Purchase"/>
    <x v="184"/>
    <n v="36"/>
    <n v="13.94"/>
    <n v="1096.17"/>
    <n v="61.3"/>
    <s v="Current"/>
    <n v="0"/>
    <x v="0"/>
    <n v="62"/>
    <s v="IN"/>
    <s v="Bachelor"/>
    <s v="Contract"/>
    <x v="19"/>
    <n v="49969"/>
    <n v="615"/>
    <s v="Rent"/>
    <n v="4"/>
    <n v="1456"/>
    <x v="1"/>
    <x v="0"/>
    <x v="1"/>
    <x v="1"/>
  </r>
  <r>
    <s v="LN-00544"/>
    <s v="BRW-0455"/>
    <d v="2024-03-21T00:00:00"/>
    <s v="Wedding"/>
    <x v="206"/>
    <n v="60"/>
    <n v="13.19"/>
    <n v="612.39"/>
    <n v="56.8"/>
    <s v="Paid Off"/>
    <n v="0"/>
    <x v="0"/>
    <n v="58"/>
    <s v="WI"/>
    <s v="Bachelor"/>
    <s v="Contract"/>
    <x v="6"/>
    <n v="87044"/>
    <n v="685"/>
    <s v="Own"/>
    <n v="4"/>
    <n v="3508"/>
    <x v="4"/>
    <x v="0"/>
    <x v="1"/>
    <x v="0"/>
  </r>
  <r>
    <s v="LN-00545"/>
    <s v="BRW-0456"/>
    <d v="2024-09-08T00:00:00"/>
    <s v="Education"/>
    <x v="264"/>
    <n v="24"/>
    <n v="7.77"/>
    <n v="586.59"/>
    <n v="32.9"/>
    <s v="Current"/>
    <n v="0"/>
    <x v="0"/>
    <n v="32"/>
    <s v="MN"/>
    <s v="Associate"/>
    <s v="Full-Time"/>
    <x v="15"/>
    <n v="35993"/>
    <n v="823"/>
    <s v="Own"/>
    <n v="1"/>
    <n v="401"/>
    <x v="3"/>
    <x v="2"/>
    <x v="1"/>
    <x v="2"/>
  </r>
  <r>
    <s v="LN-00546"/>
    <s v="BRW-0456"/>
    <d v="2024-04-15T00:00:00"/>
    <s v="Auto Loan"/>
    <x v="116"/>
    <n v="24"/>
    <n v="9.42"/>
    <n v="559.71"/>
    <n v="32"/>
    <s v="Late"/>
    <n v="15"/>
    <x v="0"/>
    <n v="32"/>
    <s v="MN"/>
    <s v="Associate"/>
    <s v="Full-Time"/>
    <x v="15"/>
    <n v="35993"/>
    <n v="823"/>
    <s v="Own"/>
    <n v="1"/>
    <n v="401"/>
    <x v="3"/>
    <x v="2"/>
    <x v="1"/>
    <x v="1"/>
  </r>
  <r>
    <s v="LN-00547"/>
    <s v="BRW-0457"/>
    <d v="2024-07-31T00:00:00"/>
    <s v="Auto Loan"/>
    <x v="119"/>
    <n v="48"/>
    <n v="13.44"/>
    <n v="175.8"/>
    <n v="34.799999999999997"/>
    <s v="Current"/>
    <n v="0"/>
    <x v="0"/>
    <n v="65"/>
    <s v="FL"/>
    <s v="Associate"/>
    <s v="Full-Time"/>
    <x v="31"/>
    <n v="56685"/>
    <n v="647"/>
    <s v="Mortgage"/>
    <n v="0"/>
    <n v="1470"/>
    <x v="1"/>
    <x v="2"/>
    <x v="1"/>
    <x v="1"/>
  </r>
  <r>
    <s v="LN-00548"/>
    <s v="BRW-0458"/>
    <d v="2025-04-06T00:00:00"/>
    <s v="Home Improvement"/>
    <x v="328"/>
    <n v="36"/>
    <n v="12.75"/>
    <n v="654.69000000000005"/>
    <n v="54.1"/>
    <s v="Current"/>
    <n v="0"/>
    <x v="0"/>
    <n v="54"/>
    <s v="WI"/>
    <s v="Bachelor"/>
    <s v="Contract"/>
    <x v="24"/>
    <n v="79231"/>
    <n v="625"/>
    <s v="Rent"/>
    <n v="0"/>
    <n v="2917"/>
    <x v="1"/>
    <x v="0"/>
    <x v="1"/>
    <x v="2"/>
  </r>
  <r>
    <s v="LN-00549"/>
    <s v="BRW-0459"/>
    <d v="2024-12-21T00:00:00"/>
    <s v="Wedding"/>
    <x v="113"/>
    <n v="12"/>
    <n v="10.71"/>
    <n v="3794.6"/>
    <n v="79.900000000000006"/>
    <s v="Current"/>
    <n v="0"/>
    <x v="0"/>
    <n v="54"/>
    <s v="CT"/>
    <s v="Master"/>
    <s v="Full-Time"/>
    <x v="17"/>
    <n v="111175"/>
    <n v="850"/>
    <s v="Rent"/>
    <n v="3"/>
    <n v="3606"/>
    <x v="3"/>
    <x v="3"/>
    <x v="1"/>
    <x v="0"/>
  </r>
  <r>
    <s v="LN-00550"/>
    <s v="BRW-0460"/>
    <d v="2025-06-14T00:00:00"/>
    <s v="Auto Loan"/>
    <x v="280"/>
    <n v="12"/>
    <n v="9.33"/>
    <n v="989.93"/>
    <n v="70.8"/>
    <s v="Paid Off"/>
    <n v="0"/>
    <x v="0"/>
    <n v="49"/>
    <s v="KY"/>
    <s v="Bachelor"/>
    <s v="Full-Time"/>
    <x v="14"/>
    <n v="43371"/>
    <n v="801"/>
    <s v="Own"/>
    <n v="1"/>
    <n v="1569"/>
    <x v="3"/>
    <x v="0"/>
    <x v="1"/>
    <x v="1"/>
  </r>
  <r>
    <s v="LN-00551"/>
    <s v="BRW-0461"/>
    <d v="2024-05-09T00:00:00"/>
    <s v="Business Loan"/>
    <x v="43"/>
    <n v="12"/>
    <n v="9.74"/>
    <n v="517.99"/>
    <n v="23.6"/>
    <s v="Paid Off"/>
    <n v="0"/>
    <x v="0"/>
    <n v="44"/>
    <s v="NC"/>
    <s v="Bachelor"/>
    <s v="Self-Employed"/>
    <x v="20"/>
    <n v="89186"/>
    <n v="834"/>
    <s v="Mortgage"/>
    <n v="1"/>
    <n v="1235"/>
    <x v="3"/>
    <x v="2"/>
    <x v="0"/>
    <x v="2"/>
  </r>
  <r>
    <s v="LN-00552"/>
    <s v="BRW-0462"/>
    <d v="2025-02-13T00:00:00"/>
    <s v="Moving"/>
    <x v="329"/>
    <n v="48"/>
    <n v="11.75"/>
    <n v="639.54999999999995"/>
    <n v="47"/>
    <s v="Current"/>
    <n v="0"/>
    <x v="0"/>
    <n v="27"/>
    <s v="KY"/>
    <s v="Associate"/>
    <s v="Contract"/>
    <x v="10"/>
    <n v="48279"/>
    <n v="626"/>
    <s v="Rent"/>
    <n v="0"/>
    <n v="1252"/>
    <x v="1"/>
    <x v="1"/>
    <x v="1"/>
    <x v="0"/>
  </r>
  <r>
    <s v="LN-00553"/>
    <s v="BRW-0463"/>
    <d v="2024-07-29T00:00:00"/>
    <s v="Auto Loan"/>
    <x v="192"/>
    <n v="60"/>
    <n v="10.039999999999999"/>
    <n v="146.74"/>
    <n v="38"/>
    <s v="Paid Off"/>
    <n v="0"/>
    <x v="0"/>
    <n v="55"/>
    <s v="IL"/>
    <s v="High School"/>
    <s v="Self-Employed"/>
    <x v="22"/>
    <n v="46609"/>
    <n v="691"/>
    <s v="Mortgage"/>
    <n v="1"/>
    <n v="1331"/>
    <x v="4"/>
    <x v="1"/>
    <x v="0"/>
    <x v="1"/>
  </r>
  <r>
    <s v="LN-00554"/>
    <s v="BRW-0463"/>
    <d v="2025-01-27T00:00:00"/>
    <s v="Major Purchase"/>
    <x v="289"/>
    <n v="36"/>
    <n v="11.6"/>
    <n v="472.24"/>
    <n v="46.4"/>
    <s v="Current"/>
    <n v="0"/>
    <x v="0"/>
    <n v="55"/>
    <s v="IL"/>
    <s v="High School"/>
    <s v="Self-Employed"/>
    <x v="22"/>
    <n v="46609"/>
    <n v="691"/>
    <s v="Mortgage"/>
    <n v="1"/>
    <n v="1331"/>
    <x v="4"/>
    <x v="1"/>
    <x v="0"/>
    <x v="1"/>
  </r>
  <r>
    <s v="LN-00555"/>
    <s v="BRW-0464"/>
    <d v="2025-02-23T00:00:00"/>
    <s v="Home Improvement"/>
    <x v="2"/>
    <n v="60"/>
    <n v="9.92"/>
    <n v="947.98"/>
    <n v="46.1"/>
    <s v="Late"/>
    <n v="0"/>
    <x v="0"/>
    <n v="38"/>
    <s v="AZ"/>
    <s v="Master"/>
    <s v="Full-Time"/>
    <x v="15"/>
    <n v="85972"/>
    <n v="681"/>
    <s v="Rent"/>
    <n v="2"/>
    <n v="2355"/>
    <x v="4"/>
    <x v="1"/>
    <x v="1"/>
    <x v="2"/>
  </r>
  <r>
    <s v="LN-00556"/>
    <s v="BRW-0465"/>
    <d v="2024-07-09T00:00:00"/>
    <s v="Education"/>
    <x v="330"/>
    <n v="36"/>
    <n v="10.78"/>
    <n v="150.12"/>
    <n v="17.600000000000001"/>
    <s v="Late"/>
    <n v="0"/>
    <x v="0"/>
    <n v="33"/>
    <s v="SC"/>
    <s v="Bachelor"/>
    <s v="Part-Time"/>
    <x v="11"/>
    <n v="31235"/>
    <n v="682"/>
    <s v="Mortgage"/>
    <n v="1"/>
    <n v="309"/>
    <x v="4"/>
    <x v="2"/>
    <x v="1"/>
    <x v="2"/>
  </r>
  <r>
    <s v="LN-00557"/>
    <s v="BRW-0465"/>
    <d v="2024-01-12T00:00:00"/>
    <s v="Education"/>
    <x v="304"/>
    <n v="12"/>
    <n v="10.23"/>
    <n v="528.14"/>
    <n v="32.200000000000003"/>
    <s v="Current"/>
    <n v="0"/>
    <x v="0"/>
    <n v="33"/>
    <s v="SC"/>
    <s v="Bachelor"/>
    <s v="Part-Time"/>
    <x v="11"/>
    <n v="31235"/>
    <n v="682"/>
    <s v="Mortgage"/>
    <n v="1"/>
    <n v="309"/>
    <x v="4"/>
    <x v="2"/>
    <x v="1"/>
    <x v="2"/>
  </r>
  <r>
    <s v="LN-00558"/>
    <s v="BRW-0466"/>
    <d v="2024-08-10T00:00:00"/>
    <s v="Business Loan"/>
    <x v="266"/>
    <n v="60"/>
    <n v="10.86"/>
    <n v="433.45"/>
    <n v="55.4"/>
    <s v="Default"/>
    <n v="101"/>
    <x v="1"/>
    <n v="64"/>
    <s v="WA"/>
    <s v="High School"/>
    <s v="Full-Time"/>
    <x v="0"/>
    <n v="49965"/>
    <n v="612"/>
    <s v="Own"/>
    <n v="2"/>
    <n v="1875"/>
    <x v="1"/>
    <x v="0"/>
    <x v="1"/>
    <x v="2"/>
  </r>
  <r>
    <s v="LN-00559"/>
    <s v="BRW-0467"/>
    <d v="2024-11-23T00:00:00"/>
    <s v="Home Improvement"/>
    <x v="248"/>
    <n v="48"/>
    <n v="7.42"/>
    <n v="796.67"/>
    <n v="70.099999999999994"/>
    <s v="Default"/>
    <n v="42"/>
    <x v="1"/>
    <n v="61"/>
    <s v="OR"/>
    <s v="Bachelor"/>
    <s v="Self-Employed"/>
    <x v="10"/>
    <n v="50855"/>
    <n v="850"/>
    <s v="Rent"/>
    <n v="0"/>
    <n v="2173"/>
    <x v="3"/>
    <x v="0"/>
    <x v="0"/>
    <x v="2"/>
  </r>
  <r>
    <s v="LN-00560"/>
    <s v="BRW-0468"/>
    <d v="2024-06-24T00:00:00"/>
    <s v="Vacation"/>
    <x v="86"/>
    <n v="12"/>
    <n v="6.69"/>
    <n v="423.28"/>
    <n v="50"/>
    <s v="Current"/>
    <n v="0"/>
    <x v="0"/>
    <n v="49"/>
    <s v="UT"/>
    <s v="High School"/>
    <s v="Full-Time"/>
    <x v="18"/>
    <n v="35453"/>
    <n v="836"/>
    <s v="Rent"/>
    <n v="4"/>
    <n v="1054"/>
    <x v="3"/>
    <x v="1"/>
    <x v="1"/>
    <x v="0"/>
  </r>
  <r>
    <s v="LN-00561"/>
    <s v="BRW-0468"/>
    <d v="2025-04-17T00:00:00"/>
    <s v="Debt Consolidation"/>
    <x v="73"/>
    <n v="60"/>
    <n v="11.01"/>
    <n v="334.91"/>
    <n v="47"/>
    <s v="Current"/>
    <n v="0"/>
    <x v="0"/>
    <n v="49"/>
    <s v="UT"/>
    <s v="High School"/>
    <s v="Full-Time"/>
    <x v="18"/>
    <n v="35453"/>
    <n v="836"/>
    <s v="Rent"/>
    <n v="4"/>
    <n v="1054"/>
    <x v="3"/>
    <x v="1"/>
    <x v="1"/>
    <x v="1"/>
  </r>
  <r>
    <s v="LN-00562"/>
    <s v="BRW-0469"/>
    <d v="2025-03-01T00:00:00"/>
    <s v="Moving"/>
    <x v="175"/>
    <n v="12"/>
    <n v="12.2"/>
    <n v="444.71"/>
    <n v="79.2"/>
    <s v="Paid Off"/>
    <n v="0"/>
    <x v="0"/>
    <n v="55"/>
    <s v="OH"/>
    <s v="Associate"/>
    <s v="Retired"/>
    <x v="33"/>
    <n v="19232"/>
    <n v="609"/>
    <s v="Mortgage"/>
    <n v="3"/>
    <n v="825"/>
    <x v="1"/>
    <x v="3"/>
    <x v="2"/>
    <x v="0"/>
  </r>
  <r>
    <s v="LN-00563"/>
    <s v="BRW-0469"/>
    <d v="2025-02-06T00:00:00"/>
    <s v="Major Purchase"/>
    <x v="124"/>
    <n v="48"/>
    <n v="12.91"/>
    <n v="168.73"/>
    <n v="62"/>
    <s v="Default"/>
    <n v="146"/>
    <x v="1"/>
    <n v="55"/>
    <s v="OH"/>
    <s v="Associate"/>
    <s v="Retired"/>
    <x v="33"/>
    <n v="19232"/>
    <n v="609"/>
    <s v="Mortgage"/>
    <n v="3"/>
    <n v="825"/>
    <x v="1"/>
    <x v="0"/>
    <x v="2"/>
    <x v="1"/>
  </r>
  <r>
    <s v="LN-00564"/>
    <s v="BRW-0470"/>
    <d v="2024-02-18T00:00:00"/>
    <s v="Home Improvement"/>
    <x v="331"/>
    <n v="12"/>
    <n v="6.91"/>
    <n v="4064.81"/>
    <n v="102.4"/>
    <s v="Paid Off"/>
    <n v="0"/>
    <x v="0"/>
    <n v="55"/>
    <s v="MN"/>
    <s v="Associate"/>
    <s v="Full-Time"/>
    <x v="7"/>
    <n v="57097"/>
    <n v="794"/>
    <s v="Mortgage"/>
    <n v="0"/>
    <n v="807"/>
    <x v="3"/>
    <x v="3"/>
    <x v="1"/>
    <x v="2"/>
  </r>
  <r>
    <s v="LN-00565"/>
    <s v="BRW-0471"/>
    <d v="2024-01-06T00:00:00"/>
    <s v="Major Purchase"/>
    <x v="195"/>
    <n v="36"/>
    <n v="11.68"/>
    <n v="204.98"/>
    <n v="33.5"/>
    <s v="Late"/>
    <n v="15"/>
    <x v="0"/>
    <n v="22"/>
    <s v="WA"/>
    <s v="Doctorate"/>
    <s v="Full-Time"/>
    <x v="18"/>
    <n v="95335"/>
    <n v="744"/>
    <s v="Rent"/>
    <n v="2"/>
    <n v="2453"/>
    <x v="2"/>
    <x v="2"/>
    <x v="1"/>
    <x v="1"/>
  </r>
  <r>
    <s v="LN-00566"/>
    <s v="BRW-0471"/>
    <d v="2025-01-23T00:00:00"/>
    <s v="Debt Consolidation"/>
    <x v="6"/>
    <n v="12"/>
    <n v="8.92"/>
    <n v="3426.64"/>
    <n v="74"/>
    <s v="Default"/>
    <n v="73"/>
    <x v="1"/>
    <n v="22"/>
    <s v="WA"/>
    <s v="Doctorate"/>
    <s v="Full-Time"/>
    <x v="18"/>
    <n v="95335"/>
    <n v="744"/>
    <s v="Rent"/>
    <n v="2"/>
    <n v="2453"/>
    <x v="2"/>
    <x v="0"/>
    <x v="1"/>
    <x v="1"/>
  </r>
  <r>
    <s v="LN-00567"/>
    <s v="BRW-0472"/>
    <d v="2025-02-27T00:00:00"/>
    <s v="Wedding"/>
    <x v="68"/>
    <n v="24"/>
    <n v="10.25"/>
    <n v="240.55"/>
    <n v="44.2"/>
    <s v="Current"/>
    <n v="0"/>
    <x v="0"/>
    <n v="67"/>
    <s v="OR"/>
    <s v="High School"/>
    <s v="Full-Time"/>
    <x v="2"/>
    <n v="32414"/>
    <n v="811"/>
    <s v="Mortgage"/>
    <n v="0"/>
    <n v="954"/>
    <x v="3"/>
    <x v="1"/>
    <x v="1"/>
    <x v="0"/>
  </r>
  <r>
    <s v="LN-00568"/>
    <s v="BRW-0472"/>
    <d v="2025-05-09T00:00:00"/>
    <s v="Business Loan"/>
    <x v="172"/>
    <n v="36"/>
    <n v="8.09"/>
    <n v="690.31"/>
    <n v="60.9"/>
    <s v="Current"/>
    <n v="0"/>
    <x v="0"/>
    <n v="67"/>
    <s v="OR"/>
    <s v="High School"/>
    <s v="Full-Time"/>
    <x v="2"/>
    <n v="32414"/>
    <n v="811"/>
    <s v="Mortgage"/>
    <n v="0"/>
    <n v="954"/>
    <x v="3"/>
    <x v="0"/>
    <x v="1"/>
    <x v="2"/>
  </r>
  <r>
    <s v="LN-00569"/>
    <s v="BRW-0473"/>
    <d v="2024-03-17T00:00:00"/>
    <s v="Moving"/>
    <x v="26"/>
    <n v="24"/>
    <n v="13.16"/>
    <n v="647.59"/>
    <n v="38.700000000000003"/>
    <s v="Current"/>
    <n v="0"/>
    <x v="0"/>
    <n v="34"/>
    <s v="MO"/>
    <s v="Bachelor"/>
    <s v="Full-Time"/>
    <x v="0"/>
    <n v="40896"/>
    <n v="619"/>
    <s v="Mortgage"/>
    <n v="0"/>
    <n v="671"/>
    <x v="1"/>
    <x v="1"/>
    <x v="1"/>
    <x v="0"/>
  </r>
  <r>
    <s v="LN-00570"/>
    <s v="BRW-0474"/>
    <d v="2025-06-24T00:00:00"/>
    <s v="Major Purchase"/>
    <x v="201"/>
    <n v="24"/>
    <n v="10.25"/>
    <n v="282.19"/>
    <n v="47.8"/>
    <s v="Paid Off"/>
    <n v="0"/>
    <x v="0"/>
    <n v="29"/>
    <s v="WA"/>
    <s v="Master"/>
    <s v="Retired"/>
    <x v="1"/>
    <n v="77862"/>
    <n v="829"/>
    <s v="Rent"/>
    <n v="2"/>
    <n v="2822"/>
    <x v="3"/>
    <x v="1"/>
    <x v="2"/>
    <x v="1"/>
  </r>
  <r>
    <s v="LN-00571"/>
    <s v="BRW-0475"/>
    <d v="2025-01-07T00:00:00"/>
    <s v="Medical Expenses"/>
    <x v="332"/>
    <n v="24"/>
    <n v="7.01"/>
    <n v="317.92"/>
    <n v="40"/>
    <s v="Late"/>
    <n v="0"/>
    <x v="0"/>
    <n v="43"/>
    <s v="NC"/>
    <s v="Doctorate"/>
    <s v="Full-Time"/>
    <x v="10"/>
    <n v="114645"/>
    <n v="845"/>
    <s v="Mortgage"/>
    <n v="0"/>
    <n v="3504"/>
    <x v="3"/>
    <x v="1"/>
    <x v="1"/>
    <x v="0"/>
  </r>
  <r>
    <s v="LN-00572"/>
    <s v="BRW-0476"/>
    <d v="2024-04-14T00:00:00"/>
    <s v="Major Purchase"/>
    <x v="106"/>
    <n v="24"/>
    <n v="11.51"/>
    <n v="482.5"/>
    <n v="26.9"/>
    <s v="Late"/>
    <n v="15"/>
    <x v="0"/>
    <n v="36"/>
    <s v="SC"/>
    <s v="Bachelor"/>
    <s v="Full-Time"/>
    <x v="19"/>
    <n v="60743"/>
    <n v="715"/>
    <s v="Mortgage"/>
    <n v="3"/>
    <n v="881"/>
    <x v="2"/>
    <x v="2"/>
    <x v="1"/>
    <x v="1"/>
  </r>
  <r>
    <s v="LN-00573"/>
    <s v="BRW-0477"/>
    <d v="2024-09-28T00:00:00"/>
    <s v="Vacation"/>
    <x v="333"/>
    <n v="60"/>
    <n v="8.6300000000000008"/>
    <n v="59.68"/>
    <n v="34.799999999999997"/>
    <s v="Current"/>
    <n v="0"/>
    <x v="0"/>
    <n v="27"/>
    <s v="VA"/>
    <s v="Bachelor"/>
    <s v="Self-Employed"/>
    <x v="9"/>
    <n v="62419"/>
    <n v="818"/>
    <s v="Mortgage"/>
    <n v="0"/>
    <n v="1752"/>
    <x v="3"/>
    <x v="2"/>
    <x v="0"/>
    <x v="0"/>
  </r>
  <r>
    <s v="LN-00574"/>
    <s v="BRW-0478"/>
    <d v="2025-01-13T00:00:00"/>
    <s v="Major Purchase"/>
    <x v="334"/>
    <n v="12"/>
    <n v="8.7899999999999991"/>
    <n v="2306.15"/>
    <n v="39.1"/>
    <s v="Paid Off"/>
    <n v="0"/>
    <x v="0"/>
    <n v="33"/>
    <s v="AL"/>
    <s v="Master"/>
    <s v="Self-Employed"/>
    <x v="21"/>
    <n v="132671"/>
    <n v="805"/>
    <s v="Own"/>
    <n v="0"/>
    <n v="2019"/>
    <x v="3"/>
    <x v="1"/>
    <x v="0"/>
    <x v="1"/>
  </r>
  <r>
    <s v="LN-00575"/>
    <s v="BRW-0479"/>
    <d v="2025-05-20T00:00:00"/>
    <s v="Auto Loan"/>
    <x v="156"/>
    <n v="36"/>
    <n v="12.5"/>
    <n v="234.18"/>
    <n v="43"/>
    <s v="Current"/>
    <n v="0"/>
    <x v="0"/>
    <n v="36"/>
    <s v="NY"/>
    <s v="Associate"/>
    <s v="Full-Time"/>
    <x v="20"/>
    <n v="57979"/>
    <n v="609"/>
    <s v="Own"/>
    <n v="2"/>
    <n v="1844"/>
    <x v="1"/>
    <x v="1"/>
    <x v="1"/>
    <x v="1"/>
  </r>
  <r>
    <s v="LN-00576"/>
    <s v="BRW-0480"/>
    <d v="2024-09-01T00:00:00"/>
    <s v="Home Improvement"/>
    <x v="309"/>
    <n v="12"/>
    <n v="9.94"/>
    <n v="316.39999999999998"/>
    <n v="55.8"/>
    <s v="Default"/>
    <n v="55"/>
    <x v="1"/>
    <n v="61"/>
    <s v="TN"/>
    <s v="High School"/>
    <s v="Contract"/>
    <x v="35"/>
    <n v="56121"/>
    <n v="776"/>
    <s v="Mortgage"/>
    <n v="3"/>
    <n v="2293"/>
    <x v="3"/>
    <x v="0"/>
    <x v="1"/>
    <x v="2"/>
  </r>
  <r>
    <s v="LN-00577"/>
    <s v="BRW-0481"/>
    <d v="2024-10-01T00:00:00"/>
    <s v="Wedding"/>
    <x v="157"/>
    <n v="48"/>
    <n v="6.99"/>
    <n v="512.35"/>
    <n v="12.1"/>
    <s v="Current"/>
    <n v="0"/>
    <x v="0"/>
    <n v="58"/>
    <s v="LA"/>
    <s v="Master"/>
    <s v="Full-Time"/>
    <x v="13"/>
    <n v="139061"/>
    <n v="811"/>
    <s v="Mortgage"/>
    <n v="2"/>
    <n v="893"/>
    <x v="3"/>
    <x v="2"/>
    <x v="1"/>
    <x v="0"/>
  </r>
  <r>
    <s v="LN-00578"/>
    <s v="BRW-0482"/>
    <d v="2025-05-03T00:00:00"/>
    <s v="Wedding"/>
    <x v="231"/>
    <n v="24"/>
    <n v="10.25"/>
    <n v="97.15"/>
    <n v="12.6"/>
    <s v="Late"/>
    <n v="15"/>
    <x v="0"/>
    <n v="49"/>
    <s v="PA"/>
    <s v="Bachelor"/>
    <s v="Full-Time"/>
    <x v="25"/>
    <n v="72657"/>
    <n v="736"/>
    <s v="Rent"/>
    <n v="1"/>
    <n v="667"/>
    <x v="2"/>
    <x v="2"/>
    <x v="1"/>
    <x v="0"/>
  </r>
  <r>
    <s v="LN-00579"/>
    <s v="BRW-0483"/>
    <d v="2024-01-14T00:00:00"/>
    <s v="Home Improvement"/>
    <x v="79"/>
    <n v="48"/>
    <n v="10.09"/>
    <n v="208.33"/>
    <n v="54.1"/>
    <s v="Current"/>
    <n v="0"/>
    <x v="0"/>
    <n v="55"/>
    <s v="NJ"/>
    <s v="Bachelor"/>
    <s v="Self-Employed"/>
    <x v="31"/>
    <n v="41354"/>
    <n v="637"/>
    <s v="Mortgage"/>
    <n v="1"/>
    <n v="1657"/>
    <x v="1"/>
    <x v="0"/>
    <x v="0"/>
    <x v="2"/>
  </r>
  <r>
    <s v="LN-00580"/>
    <s v="BRW-0484"/>
    <d v="2025-04-30T00:00:00"/>
    <s v="Home Improvement"/>
    <x v="174"/>
    <n v="12"/>
    <n v="8.84"/>
    <n v="2411.61"/>
    <n v="66.900000000000006"/>
    <s v="Current"/>
    <n v="0"/>
    <x v="0"/>
    <n v="33"/>
    <s v="TN"/>
    <s v="Bachelor"/>
    <s v="Full-Time"/>
    <x v="6"/>
    <n v="70671"/>
    <n v="848"/>
    <s v="Mortgage"/>
    <n v="1"/>
    <n v="1528"/>
    <x v="3"/>
    <x v="0"/>
    <x v="1"/>
    <x v="2"/>
  </r>
  <r>
    <s v="LN-00581"/>
    <s v="BRW-0484"/>
    <d v="2025-06-21T00:00:00"/>
    <s v="Home Improvement"/>
    <x v="225"/>
    <n v="36"/>
    <n v="10.039999999999999"/>
    <n v="77.489999999999995"/>
    <n v="27.3"/>
    <s v="Paid Off"/>
    <n v="0"/>
    <x v="0"/>
    <n v="33"/>
    <s v="TN"/>
    <s v="Bachelor"/>
    <s v="Full-Time"/>
    <x v="6"/>
    <n v="70671"/>
    <n v="848"/>
    <s v="Mortgage"/>
    <n v="1"/>
    <n v="1528"/>
    <x v="3"/>
    <x v="2"/>
    <x v="1"/>
    <x v="2"/>
  </r>
  <r>
    <s v="LN-00582"/>
    <s v="BRW-0485"/>
    <d v="2025-05-13T00:00:00"/>
    <s v="Education"/>
    <x v="335"/>
    <n v="60"/>
    <n v="7.5"/>
    <n v="747.42"/>
    <n v="22.9"/>
    <s v="Paid Off"/>
    <n v="0"/>
    <x v="0"/>
    <n v="45"/>
    <s v="MN"/>
    <s v="Bachelor"/>
    <s v="Full-Time"/>
    <x v="1"/>
    <n v="69356"/>
    <n v="827"/>
    <s v="Rent"/>
    <n v="0"/>
    <n v="577"/>
    <x v="3"/>
    <x v="2"/>
    <x v="1"/>
    <x v="2"/>
  </r>
  <r>
    <s v="LN-00583"/>
    <s v="BRW-0486"/>
    <d v="2024-10-03T00:00:00"/>
    <s v="Education"/>
    <x v="6"/>
    <n v="60"/>
    <n v="11.84"/>
    <n v="868.82"/>
    <n v="60.1"/>
    <s v="Current"/>
    <n v="0"/>
    <x v="0"/>
    <n v="39"/>
    <s v="AL"/>
    <s v="Master"/>
    <s v="Part-Time"/>
    <x v="1"/>
    <n v="70439"/>
    <n v="635"/>
    <s v="Rent"/>
    <n v="0"/>
    <n v="2658"/>
    <x v="1"/>
    <x v="0"/>
    <x v="1"/>
    <x v="2"/>
  </r>
  <r>
    <s v="LN-00584"/>
    <s v="BRW-0487"/>
    <d v="2025-03-17T00:00:00"/>
    <s v="Business Loan"/>
    <x v="241"/>
    <n v="48"/>
    <n v="5.99"/>
    <n v="206.63"/>
    <n v="22.5"/>
    <s v="Current"/>
    <n v="0"/>
    <x v="0"/>
    <n v="33"/>
    <s v="NJ"/>
    <s v="Bachelor"/>
    <s v="Full-Time"/>
    <x v="5"/>
    <n v="97590"/>
    <n v="850"/>
    <s v="Mortgage"/>
    <n v="2"/>
    <n v="1626"/>
    <x v="3"/>
    <x v="2"/>
    <x v="1"/>
    <x v="2"/>
  </r>
  <r>
    <s v="LN-00585"/>
    <s v="BRW-0487"/>
    <d v="2025-04-05T00:00:00"/>
    <s v="Major Purchase"/>
    <x v="336"/>
    <n v="60"/>
    <n v="10.33"/>
    <n v="1034.0899999999999"/>
    <n v="32.700000000000003"/>
    <s v="Late"/>
    <n v="15"/>
    <x v="0"/>
    <n v="33"/>
    <s v="NJ"/>
    <s v="Bachelor"/>
    <s v="Full-Time"/>
    <x v="5"/>
    <n v="97590"/>
    <n v="850"/>
    <s v="Mortgage"/>
    <n v="2"/>
    <n v="1626"/>
    <x v="3"/>
    <x v="2"/>
    <x v="1"/>
    <x v="1"/>
  </r>
  <r>
    <s v="LN-00586"/>
    <s v="BRW-0488"/>
    <d v="2024-10-09T00:00:00"/>
    <s v="Education"/>
    <x v="282"/>
    <n v="48"/>
    <n v="14.43"/>
    <n v="572.89"/>
    <n v="47.4"/>
    <s v="Current"/>
    <n v="0"/>
    <x v="0"/>
    <n v="57"/>
    <s v="NC"/>
    <s v="Master"/>
    <s v="Full-Time"/>
    <x v="20"/>
    <n v="63092"/>
    <n v="618"/>
    <s v="Own"/>
    <n v="1"/>
    <n v="1918"/>
    <x v="1"/>
    <x v="1"/>
    <x v="1"/>
    <x v="2"/>
  </r>
  <r>
    <s v="LN-00587"/>
    <s v="BRW-0488"/>
    <d v="2024-12-21T00:00:00"/>
    <s v="Education"/>
    <x v="56"/>
    <n v="48"/>
    <n v="12.53"/>
    <n v="210.1"/>
    <n v="40.5"/>
    <s v="Late"/>
    <n v="30"/>
    <x v="0"/>
    <n v="57"/>
    <s v="NC"/>
    <s v="Master"/>
    <s v="Full-Time"/>
    <x v="20"/>
    <n v="63092"/>
    <n v="618"/>
    <s v="Own"/>
    <n v="1"/>
    <n v="1918"/>
    <x v="1"/>
    <x v="1"/>
    <x v="1"/>
    <x v="2"/>
  </r>
  <r>
    <s v="LN-00588"/>
    <s v="BRW-0489"/>
    <d v="2024-06-15T00:00:00"/>
    <s v="Vacation"/>
    <x v="32"/>
    <n v="36"/>
    <n v="9.3699999999999992"/>
    <n v="866.45"/>
    <n v="23.2"/>
    <s v="Paid Off"/>
    <n v="0"/>
    <x v="0"/>
    <n v="50"/>
    <s v="VA"/>
    <s v="Master"/>
    <s v="Full-Time"/>
    <x v="29"/>
    <n v="85514"/>
    <n v="825"/>
    <s v="Rent"/>
    <n v="0"/>
    <n v="788"/>
    <x v="3"/>
    <x v="2"/>
    <x v="1"/>
    <x v="0"/>
  </r>
  <r>
    <s v="LN-00589"/>
    <s v="BRW-0490"/>
    <d v="2024-11-09T00:00:00"/>
    <s v="Debt Consolidation"/>
    <x v="51"/>
    <n v="12"/>
    <n v="6.52"/>
    <n v="3590.31"/>
    <n v="72.7"/>
    <s v="Default"/>
    <n v="120"/>
    <x v="1"/>
    <n v="65"/>
    <s v="MI"/>
    <s v="Doctorate"/>
    <s v="Full-Time"/>
    <x v="21"/>
    <n v="126680"/>
    <n v="825"/>
    <s v="Rent"/>
    <n v="1"/>
    <n v="4081"/>
    <x v="3"/>
    <x v="0"/>
    <x v="1"/>
    <x v="1"/>
  </r>
  <r>
    <s v="LN-00590"/>
    <s v="BRW-0491"/>
    <d v="2025-05-29T00:00:00"/>
    <s v="Debt Consolidation"/>
    <x v="337"/>
    <n v="36"/>
    <n v="9.7799999999999994"/>
    <n v="154.38999999999999"/>
    <n v="40"/>
    <s v="Current"/>
    <n v="0"/>
    <x v="0"/>
    <n v="53"/>
    <s v="IL"/>
    <s v="Master"/>
    <s v="Full-Time"/>
    <x v="4"/>
    <n v="61327"/>
    <n v="849"/>
    <s v="Mortgage"/>
    <n v="3"/>
    <n v="1892"/>
    <x v="3"/>
    <x v="1"/>
    <x v="1"/>
    <x v="1"/>
  </r>
  <r>
    <s v="LN-00591"/>
    <s v="BRW-0492"/>
    <d v="2024-03-23T00:00:00"/>
    <s v="Auto Loan"/>
    <x v="213"/>
    <n v="48"/>
    <n v="13.58"/>
    <n v="357.93"/>
    <n v="49.4"/>
    <s v="Default"/>
    <n v="38"/>
    <x v="1"/>
    <n v="43"/>
    <s v="GA"/>
    <s v="Bachelor"/>
    <s v="Part-Time"/>
    <x v="9"/>
    <n v="36533"/>
    <n v="561"/>
    <s v="Own"/>
    <n v="1"/>
    <n v="1146"/>
    <x v="0"/>
    <x v="1"/>
    <x v="1"/>
    <x v="1"/>
  </r>
  <r>
    <s v="LN-00592"/>
    <s v="BRW-0493"/>
    <d v="2024-04-10T00:00:00"/>
    <s v="Education"/>
    <x v="173"/>
    <n v="48"/>
    <n v="9.58"/>
    <n v="251.61"/>
    <n v="38.700000000000003"/>
    <s v="Late"/>
    <n v="15"/>
    <x v="0"/>
    <n v="67"/>
    <s v="IN"/>
    <s v="Associate"/>
    <s v="Part-Time"/>
    <x v="35"/>
    <n v="23062"/>
    <n v="752"/>
    <s v="Rent"/>
    <n v="4"/>
    <n v="493"/>
    <x v="3"/>
    <x v="1"/>
    <x v="1"/>
    <x v="2"/>
  </r>
  <r>
    <s v="LN-00593"/>
    <s v="BRW-0494"/>
    <d v="2024-07-23T00:00:00"/>
    <s v="Major Purchase"/>
    <x v="18"/>
    <n v="60"/>
    <n v="9.65"/>
    <n v="368.82"/>
    <n v="30.8"/>
    <s v="Current"/>
    <n v="0"/>
    <x v="0"/>
    <n v="33"/>
    <s v="NY"/>
    <s v="Master"/>
    <s v="Full-Time"/>
    <x v="21"/>
    <n v="74731"/>
    <n v="663"/>
    <s v="Rent"/>
    <n v="0"/>
    <n v="1547"/>
    <x v="4"/>
    <x v="2"/>
    <x v="1"/>
    <x v="1"/>
  </r>
  <r>
    <s v="LN-00594"/>
    <s v="BRW-0495"/>
    <d v="2025-03-23T00:00:00"/>
    <s v="Auto Loan"/>
    <x v="334"/>
    <n v="60"/>
    <n v="11.87"/>
    <n v="585.52"/>
    <n v="52.7"/>
    <s v="Default"/>
    <n v="164"/>
    <x v="1"/>
    <n v="28"/>
    <s v="NY"/>
    <s v="High School"/>
    <s v="Contract"/>
    <x v="0"/>
    <n v="41704"/>
    <n v="543"/>
    <s v="Mortgage"/>
    <n v="0"/>
    <n v="1247"/>
    <x v="0"/>
    <x v="0"/>
    <x v="1"/>
    <x v="1"/>
  </r>
  <r>
    <s v="LN-00595"/>
    <s v="BRW-0496"/>
    <d v="2025-03-13T00:00:00"/>
    <s v="Education"/>
    <x v="338"/>
    <n v="36"/>
    <n v="11.33"/>
    <n v="1148.04"/>
    <n v="69.7"/>
    <s v="Late"/>
    <n v="30"/>
    <x v="0"/>
    <n v="27"/>
    <s v="IL"/>
    <s v="Bachelor"/>
    <s v="Contract"/>
    <x v="1"/>
    <n v="60337"/>
    <n v="661"/>
    <s v="Mortgage"/>
    <n v="0"/>
    <n v="2359"/>
    <x v="4"/>
    <x v="0"/>
    <x v="1"/>
    <x v="2"/>
  </r>
  <r>
    <s v="LN-00596"/>
    <s v="BRW-0497"/>
    <d v="2024-11-05T00:00:00"/>
    <s v="Debt Consolidation"/>
    <x v="238"/>
    <n v="24"/>
    <n v="10.19"/>
    <n v="1026.3699999999999"/>
    <n v="55"/>
    <s v="Current"/>
    <n v="0"/>
    <x v="0"/>
    <n v="23"/>
    <s v="MO"/>
    <s v="High School"/>
    <s v="Full-Time"/>
    <x v="20"/>
    <n v="54617"/>
    <n v="773"/>
    <s v="Rent"/>
    <n v="3"/>
    <n v="1475"/>
    <x v="3"/>
    <x v="0"/>
    <x v="1"/>
    <x v="1"/>
  </r>
  <r>
    <s v="LN-00597"/>
    <s v="BRW-0497"/>
    <d v="2025-02-06T00:00:00"/>
    <s v="Wedding"/>
    <x v="339"/>
    <n v="36"/>
    <n v="7.38"/>
    <n v="903.59"/>
    <n v="52.3"/>
    <s v="Default"/>
    <n v="31"/>
    <x v="1"/>
    <n v="23"/>
    <s v="MO"/>
    <s v="High School"/>
    <s v="Full-Time"/>
    <x v="20"/>
    <n v="54617"/>
    <n v="773"/>
    <s v="Rent"/>
    <n v="3"/>
    <n v="1475"/>
    <x v="3"/>
    <x v="0"/>
    <x v="1"/>
    <x v="0"/>
  </r>
  <r>
    <s v="LN-00598"/>
    <s v="BRW-0498"/>
    <d v="2024-04-19T00:00:00"/>
    <s v="Moving"/>
    <x v="330"/>
    <n v="12"/>
    <n v="7.27"/>
    <n v="398.6"/>
    <n v="32.4"/>
    <s v="Current"/>
    <n v="0"/>
    <x v="0"/>
    <n v="30"/>
    <s v="CO"/>
    <s v="Doctorate"/>
    <s v="Self-Employed"/>
    <x v="23"/>
    <n v="85000"/>
    <n v="845"/>
    <s v="Mortgage"/>
    <n v="3"/>
    <n v="1894"/>
    <x v="3"/>
    <x v="2"/>
    <x v="0"/>
    <x v="0"/>
  </r>
  <r>
    <s v="LN-00599"/>
    <s v="BRW-0499"/>
    <d v="2024-02-24T00:00:00"/>
    <s v="Education"/>
    <x v="340"/>
    <n v="60"/>
    <n v="9.86"/>
    <n v="165.19"/>
    <n v="28.8"/>
    <s v="Current"/>
    <n v="0"/>
    <x v="0"/>
    <n v="62"/>
    <s v="MA"/>
    <s v="Bachelor"/>
    <s v="Full-Time"/>
    <x v="7"/>
    <n v="62749"/>
    <n v="811"/>
    <s v="Rent"/>
    <n v="1"/>
    <n v="1339"/>
    <x v="3"/>
    <x v="2"/>
    <x v="1"/>
    <x v="2"/>
  </r>
  <r>
    <s v="LN-00600"/>
    <s v="BRW-0500"/>
    <d v="2024-11-14T00:00:00"/>
    <s v="Medical Expenses"/>
    <x v="334"/>
    <n v="24"/>
    <n v="11.44"/>
    <n v="1235.8499999999999"/>
    <n v="73.2"/>
    <s v="Late"/>
    <n v="15"/>
    <x v="0"/>
    <n v="31"/>
    <s v="MO"/>
    <s v="Associate"/>
    <s v="Full-Time"/>
    <x v="6"/>
    <n v="67070"/>
    <n v="604"/>
    <s v="Mortgage"/>
    <n v="0"/>
    <n v="2856"/>
    <x v="1"/>
    <x v="0"/>
    <x v="1"/>
    <x v="0"/>
  </r>
  <r>
    <s v="LN-00601"/>
    <s v="BRW-0500"/>
    <d v="2024-05-03T00:00:00"/>
    <s v="Wedding"/>
    <x v="317"/>
    <n v="12"/>
    <n v="10.7"/>
    <n v="661.81"/>
    <n v="62.9"/>
    <s v="Current"/>
    <n v="0"/>
    <x v="0"/>
    <n v="31"/>
    <s v="MO"/>
    <s v="Associate"/>
    <s v="Full-Time"/>
    <x v="6"/>
    <n v="67070"/>
    <n v="604"/>
    <s v="Mortgage"/>
    <n v="0"/>
    <n v="2856"/>
    <x v="1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4:G50" firstHeaderRow="1" firstDataRow="3" firstDataCol="1"/>
  <pivotFields count="26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">
        <item x="1"/>
        <item x="2"/>
        <item x="0"/>
      </items>
    </pivotField>
    <pivotField showAll="0"/>
  </pivotFields>
  <rowFields count="1">
    <field x="24"/>
  </rowFields>
  <rowItems count="4">
    <i>
      <x/>
    </i>
    <i>
      <x v="1"/>
    </i>
    <i>
      <x v="2"/>
    </i>
    <i t="grand">
      <x/>
    </i>
  </rowItems>
  <colFields count="2">
    <field x="1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defaulted" fld="11" baseField="0" baseItem="0"/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02:B139" firstHeaderRow="1" firstDataRow="1" firstDataCol="1"/>
  <pivotFields count="26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7">
        <item x="10"/>
        <item x="18"/>
        <item x="9"/>
        <item x="20"/>
        <item x="1"/>
        <item x="6"/>
        <item x="0"/>
        <item x="23"/>
        <item x="5"/>
        <item x="11"/>
        <item x="16"/>
        <item x="21"/>
        <item x="15"/>
        <item x="14"/>
        <item x="7"/>
        <item x="8"/>
        <item x="19"/>
        <item x="13"/>
        <item x="4"/>
        <item x="3"/>
        <item x="28"/>
        <item x="32"/>
        <item x="2"/>
        <item x="35"/>
        <item x="31"/>
        <item x="26"/>
        <item x="22"/>
        <item x="25"/>
        <item x="12"/>
        <item x="29"/>
        <item x="24"/>
        <item x="33"/>
        <item x="30"/>
        <item x="27"/>
        <item x="17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defaulte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8:B91" firstHeaderRow="1" firstDataRow="1" firstDataCol="1"/>
  <pivotFields count="26">
    <pivotField showAll="0"/>
    <pivotField showAll="0"/>
    <pivotField numFmtId="14" showAll="0"/>
    <pivotField showAll="0"/>
    <pivotField dataField="1" showAll="0">
      <items count="342">
        <item x="16"/>
        <item x="231"/>
        <item x="112"/>
        <item x="314"/>
        <item x="225"/>
        <item x="163"/>
        <item x="142"/>
        <item x="11"/>
        <item x="176"/>
        <item x="333"/>
        <item x="270"/>
        <item x="309"/>
        <item x="299"/>
        <item x="220"/>
        <item x="50"/>
        <item x="52"/>
        <item x="123"/>
        <item x="38"/>
        <item x="121"/>
        <item x="244"/>
        <item x="330"/>
        <item x="71"/>
        <item x="337"/>
        <item x="86"/>
        <item x="175"/>
        <item x="100"/>
        <item x="68"/>
        <item x="33"/>
        <item x="34"/>
        <item x="1"/>
        <item x="136"/>
        <item x="72"/>
        <item x="43"/>
        <item x="304"/>
        <item x="201"/>
        <item x="195"/>
        <item x="124"/>
        <item x="119"/>
        <item x="310"/>
        <item x="40"/>
        <item x="192"/>
        <item x="156"/>
        <item x="332"/>
        <item x="22"/>
        <item x="25"/>
        <item x="317"/>
        <item x="181"/>
        <item x="151"/>
        <item x="340"/>
        <item x="56"/>
        <item x="109"/>
        <item x="203"/>
        <item x="79"/>
        <item x="260"/>
        <item x="129"/>
        <item x="161"/>
        <item x="316"/>
        <item x="241"/>
        <item x="46"/>
        <item x="99"/>
        <item x="3"/>
        <item x="159"/>
        <item x="92"/>
        <item x="57"/>
        <item x="278"/>
        <item x="223"/>
        <item x="173"/>
        <item x="186"/>
        <item x="117"/>
        <item x="106"/>
        <item x="167"/>
        <item x="39"/>
        <item x="67"/>
        <item x="90"/>
        <item x="94"/>
        <item x="47"/>
        <item x="269"/>
        <item x="4"/>
        <item x="280"/>
        <item x="166"/>
        <item x="153"/>
        <item x="319"/>
        <item x="128"/>
        <item x="61"/>
        <item x="221"/>
        <item x="116"/>
        <item x="257"/>
        <item x="30"/>
        <item x="93"/>
        <item x="126"/>
        <item x="42"/>
        <item x="49"/>
        <item x="264"/>
        <item x="199"/>
        <item x="213"/>
        <item x="10"/>
        <item x="102"/>
        <item x="140"/>
        <item x="26"/>
        <item x="23"/>
        <item x="182"/>
        <item x="170"/>
        <item x="59"/>
        <item x="215"/>
        <item x="289"/>
        <item x="53"/>
        <item x="256"/>
        <item x="165"/>
        <item x="132"/>
        <item x="44"/>
        <item x="179"/>
        <item x="73"/>
        <item x="83"/>
        <item x="55"/>
        <item x="12"/>
        <item x="0"/>
        <item x="37"/>
        <item x="75"/>
        <item x="31"/>
        <item x="216"/>
        <item x="324"/>
        <item x="218"/>
        <item x="275"/>
        <item x="208"/>
        <item x="88"/>
        <item x="122"/>
        <item x="18"/>
        <item x="296"/>
        <item x="145"/>
        <item x="302"/>
        <item x="97"/>
        <item x="281"/>
        <item x="294"/>
        <item x="85"/>
        <item x="114"/>
        <item x="194"/>
        <item x="101"/>
        <item x="253"/>
        <item x="311"/>
        <item x="254"/>
        <item x="48"/>
        <item x="144"/>
        <item x="328"/>
        <item x="327"/>
        <item x="246"/>
        <item x="78"/>
        <item x="141"/>
        <item x="266"/>
        <item x="250"/>
        <item x="188"/>
        <item x="139"/>
        <item x="65"/>
        <item x="19"/>
        <item x="200"/>
        <item x="282"/>
        <item x="263"/>
        <item x="308"/>
        <item x="138"/>
        <item x="189"/>
        <item x="157"/>
        <item x="91"/>
        <item x="205"/>
        <item x="143"/>
        <item x="172"/>
        <item x="277"/>
        <item x="238"/>
        <item x="204"/>
        <item x="118"/>
        <item x="45"/>
        <item x="171"/>
        <item x="214"/>
        <item x="20"/>
        <item x="21"/>
        <item x="227"/>
        <item x="15"/>
        <item x="193"/>
        <item x="259"/>
        <item x="291"/>
        <item x="210"/>
        <item x="54"/>
        <item x="329"/>
        <item x="152"/>
        <item x="169"/>
        <item x="146"/>
        <item x="267"/>
        <item x="134"/>
        <item x="295"/>
        <item x="125"/>
        <item x="236"/>
        <item x="187"/>
        <item x="249"/>
        <item x="77"/>
        <item x="292"/>
        <item x="251"/>
        <item x="60"/>
        <item x="307"/>
        <item x="334"/>
        <item x="262"/>
        <item x="96"/>
        <item x="206"/>
        <item x="287"/>
        <item x="105"/>
        <item x="32"/>
        <item x="82"/>
        <item x="174"/>
        <item x="196"/>
        <item x="242"/>
        <item x="158"/>
        <item x="9"/>
        <item x="313"/>
        <item x="5"/>
        <item x="14"/>
        <item x="41"/>
        <item x="63"/>
        <item x="339"/>
        <item x="235"/>
        <item x="69"/>
        <item x="95"/>
        <item x="183"/>
        <item x="131"/>
        <item x="224"/>
        <item x="286"/>
        <item x="240"/>
        <item x="198"/>
        <item x="168"/>
        <item x="288"/>
        <item x="219"/>
        <item x="127"/>
        <item x="247"/>
        <item x="89"/>
        <item x="298"/>
        <item x="293"/>
        <item x="81"/>
        <item x="209"/>
        <item x="184"/>
        <item x="279"/>
        <item x="24"/>
        <item x="228"/>
        <item x="207"/>
        <item x="135"/>
        <item x="248"/>
        <item x="191"/>
        <item x="285"/>
        <item x="226"/>
        <item x="325"/>
        <item x="268"/>
        <item x="272"/>
        <item x="154"/>
        <item x="27"/>
        <item x="17"/>
        <item x="150"/>
        <item x="233"/>
        <item x="103"/>
        <item x="338"/>
        <item x="229"/>
        <item x="306"/>
        <item x="108"/>
        <item x="312"/>
        <item x="265"/>
        <item x="149"/>
        <item x="177"/>
        <item x="84"/>
        <item x="222"/>
        <item x="315"/>
        <item x="245"/>
        <item x="58"/>
        <item x="7"/>
        <item x="276"/>
        <item x="162"/>
        <item x="98"/>
        <item x="147"/>
        <item x="335"/>
        <item x="212"/>
        <item x="62"/>
        <item x="130"/>
        <item x="261"/>
        <item x="13"/>
        <item x="64"/>
        <item x="115"/>
        <item x="303"/>
        <item x="148"/>
        <item x="8"/>
        <item x="6"/>
        <item x="110"/>
        <item x="197"/>
        <item x="120"/>
        <item x="252"/>
        <item x="271"/>
        <item x="283"/>
        <item x="234"/>
        <item x="326"/>
        <item x="70"/>
        <item x="155"/>
        <item x="111"/>
        <item x="190"/>
        <item x="217"/>
        <item x="51"/>
        <item x="107"/>
        <item x="258"/>
        <item x="232"/>
        <item x="211"/>
        <item x="320"/>
        <item x="66"/>
        <item x="300"/>
        <item x="160"/>
        <item x="113"/>
        <item x="76"/>
        <item x="202"/>
        <item x="239"/>
        <item x="180"/>
        <item x="273"/>
        <item x="2"/>
        <item x="80"/>
        <item x="322"/>
        <item x="305"/>
        <item x="28"/>
        <item x="164"/>
        <item x="87"/>
        <item x="133"/>
        <item x="29"/>
        <item x="321"/>
        <item x="35"/>
        <item x="36"/>
        <item x="301"/>
        <item x="297"/>
        <item x="178"/>
        <item x="331"/>
        <item x="318"/>
        <item x="274"/>
        <item x="323"/>
        <item x="74"/>
        <item x="243"/>
        <item x="237"/>
        <item x="104"/>
        <item x="336"/>
        <item x="137"/>
        <item x="230"/>
        <item x="284"/>
        <item x="255"/>
        <item x="185"/>
        <item x="29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loan_amount" fld="4" subtotal="average" baseField="11" baseItem="0"/>
  </dataFields>
  <formats count="2">
    <format dxfId="1">
      <pivotArea collapsedLevelsAreSubtotals="1" fieldPosition="0">
        <references count="1">
          <reference field="11" count="1">
            <x v="0"/>
          </reference>
        </references>
      </pivotArea>
    </format>
    <format dxfId="0">
      <pivotArea collapsedLevelsAreSubtotals="1" fieldPosition="0">
        <references count="1">
          <reference field="1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6:G33" firstHeaderRow="1" firstDataRow="3" firstDataCol="1"/>
  <pivotFields count="26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 defaultSubtotal="0"/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2">
    <field x="1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defaulted" fld="11" baseField="0" baseItem="0"/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G11" firstHeaderRow="1" firstDataRow="3" firstDataCol="1"/>
  <pivotFields count="26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m="1" x="9"/>
        <item m="1" x="6"/>
        <item m="1" x="7"/>
        <item m="1" x="5"/>
        <item m="1" x="8"/>
        <item x="0"/>
        <item x="1"/>
        <item x="2"/>
        <item x="3"/>
        <item x="4"/>
        <item t="default"/>
      </items>
    </pivotField>
    <pivotField showAll="0"/>
    <pivotField showAll="0" defaultSubtotal="0"/>
    <pivotField showAll="0"/>
  </pivotFields>
  <rowFields count="1">
    <field x="22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2">
    <field x="1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defaulted" fld="11" baseField="0" baseItem="0"/>
    <dataField name="Count of loan_id" fld="0" subtotal="count" baseField="0" baseItem="0"/>
  </dataFields>
  <chartFormats count="8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5:G71" firstHeaderRow="1" firstDataRow="3" firstDataCol="1"/>
  <pivotFields count="26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5"/>
  </rowFields>
  <rowItems count="4">
    <i>
      <x/>
    </i>
    <i>
      <x v="1"/>
    </i>
    <i>
      <x v="2"/>
    </i>
    <i t="grand">
      <x/>
    </i>
  </rowItems>
  <colFields count="2">
    <field x="1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defaulted" fld="11" baseField="0" baseItem="0"/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7" unboundColumnsRight="4">
    <queryTableFields count="26">
      <queryTableField id="1" name="loan_id" tableColumnId="45"/>
      <queryTableField id="2" name="borrower_id" tableColumnId="46"/>
      <queryTableField id="3" name="application_date" tableColumnId="47"/>
      <queryTableField id="4" name="loan_purpose" tableColumnId="48"/>
      <queryTableField id="5" name="loan_amount" tableColumnId="49"/>
      <queryTableField id="6" name="term_months" tableColumnId="50"/>
      <queryTableField id="7" name="interest_rate" tableColumnId="51"/>
      <queryTableField id="8" name="monthly_payment" tableColumnId="52"/>
      <queryTableField id="9" name="dti_ratio" tableColumnId="53"/>
      <queryTableField id="10" name="loan_status" tableColumnId="54"/>
      <queryTableField id="11" name="days_delinquent" tableColumnId="55"/>
      <queryTableField id="12" name="defaulted" tableColumnId="56"/>
      <queryTableField id="13" name="age" tableColumnId="57"/>
      <queryTableField id="14" name="state" tableColumnId="58"/>
      <queryTableField id="15" name="education_level" tableColumnId="59"/>
      <queryTableField id="16" name="employment_status" tableColumnId="60"/>
      <queryTableField id="17" name="years_employed" tableColumnId="61"/>
      <queryTableField id="18" name="annual_income" tableColumnId="62"/>
      <queryTableField id="19" name="credit_score" tableColumnId="63"/>
      <queryTableField id="20" name="home_ownership" tableColumnId="64"/>
      <queryTableField id="21" name="dependents" tableColumnId="65"/>
      <queryTableField id="22" name="existing_monthly_debt" tableColumnId="66"/>
      <queryTableField id="23" dataBound="0" tableColumnId="67"/>
      <queryTableField id="24" dataBound="0" tableColumnId="68"/>
      <queryTableField id="25" dataBound="0" tableColumnId="69"/>
      <queryTableField id="26" dataBound="0" tableColumnId="7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Fact_table_clean" displayName="Fact_table_clean" ref="A1:Z602" tableType="queryTable" totalsRowShown="0" headerRowDxfId="33" dataDxfId="32">
  <autoFilter ref="A1:Z602"/>
  <tableColumns count="26">
    <tableColumn id="45" uniqueName="45" name="loan_id" queryTableFieldId="1" dataDxfId="31"/>
    <tableColumn id="46" uniqueName="46" name="borrower_id" queryTableFieldId="2" dataDxfId="30"/>
    <tableColumn id="47" uniqueName="47" name="application_date" queryTableFieldId="3" dataDxfId="29"/>
    <tableColumn id="48" uniqueName="48" name="loan_purpose" queryTableFieldId="4" dataDxfId="28"/>
    <tableColumn id="49" uniqueName="49" name="loan_amount" queryTableFieldId="5" dataDxfId="27"/>
    <tableColumn id="50" uniqueName="50" name="term_months" queryTableFieldId="6" dataDxfId="26"/>
    <tableColumn id="51" uniqueName="51" name="interest_rate" queryTableFieldId="7" dataDxfId="25"/>
    <tableColumn id="52" uniqueName="52" name="monthly_payment" queryTableFieldId="8" dataDxfId="24"/>
    <tableColumn id="53" uniqueName="53" name="dti_ratio" queryTableFieldId="9" dataDxfId="23"/>
    <tableColumn id="54" uniqueName="54" name="loan_status" queryTableFieldId="10" dataDxfId="22"/>
    <tableColumn id="55" uniqueName="55" name="days_delinquent" queryTableFieldId="11" dataDxfId="21"/>
    <tableColumn id="56" uniqueName="56" name="defaulted" queryTableFieldId="12" dataDxfId="20"/>
    <tableColumn id="57" uniqueName="57" name="age" queryTableFieldId="13" dataDxfId="19"/>
    <tableColumn id="58" uniqueName="58" name="state" queryTableFieldId="14" dataDxfId="18"/>
    <tableColumn id="59" uniqueName="59" name="education_level" queryTableFieldId="15" dataDxfId="17"/>
    <tableColumn id="60" uniqueName="60" name="employment_status" queryTableFieldId="16" dataDxfId="16"/>
    <tableColumn id="61" uniqueName="61" name="years_employed" queryTableFieldId="17" dataDxfId="15"/>
    <tableColumn id="62" uniqueName="62" name="annual_income" queryTableFieldId="18" dataDxfId="14"/>
    <tableColumn id="63" uniqueName="63" name="credit_score" queryTableFieldId="19" dataDxfId="13"/>
    <tableColumn id="64" uniqueName="64" name="home_ownership" queryTableFieldId="20" dataDxfId="12"/>
    <tableColumn id="65" uniqueName="65" name="dependents" queryTableFieldId="21" dataDxfId="11"/>
    <tableColumn id="66" uniqueName="66" name="existing_monthly_debt" queryTableFieldId="22" dataDxfId="10"/>
    <tableColumn id="67" uniqueName="67" name="Credit_score_bucket" queryTableFieldId="23" dataDxfId="9">
      <calculatedColumnFormula>IF(S2&lt;=599, "520-599", IF(S2&lt;=649, "600-649", IF(S2&lt;=699, "650-699", IF(S2&lt;=749, "700-749", "750+"))))</calculatedColumnFormula>
    </tableColumn>
    <tableColumn id="68" uniqueName="68" name="DTI_Ratio_Buckets" queryTableFieldId="24" dataDxfId="8">
      <calculatedColumnFormula>IF(I2&lt;=35, "Low (&lt;=35%)", IF(I2&lt;=50, "Manageable (36-50%)", IF(I2&lt;=75, "High (51-75%)", "Critical (&gt;75%)")))</calculatedColumnFormula>
    </tableColumn>
    <tableColumn id="69" uniqueName="69" name="Employment_Status_bucket" queryTableFieldId="25" dataDxfId="7">
      <calculatedColumnFormula>IF(OR(P2="Full-Time", P2="Part-Time", P2="Contract"), "Employed", IF(P2="Self-Employed", "Self-Employed", IF(P2="Retired", "Retired", "Other")))</calculatedColumnFormula>
    </tableColumn>
    <tableColumn id="70" uniqueName="70" name="Loan_Purpose_bucket" queryTableFieldId="26" dataDxfId="6">
      <calculatedColumnFormula>IF(OR(D2="Vacation", D2="Medical Expenses", D2="Wedding", D2="Moving"), "Consumer &amp; Personal", IF(OR(D2="Debt Consolidation", D2="Major Purchase", D2="Auto Loan"), "Debt &amp; Assets", IF(OR(D2="Home Improvement", D2="Business Loan", D2="Education"), "Investment &amp; Growth", "Other")))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02"/>
  <sheetViews>
    <sheetView topLeftCell="A2" workbookViewId="0">
      <selection activeCell="E14" sqref="E14"/>
    </sheetView>
  </sheetViews>
  <sheetFormatPr defaultRowHeight="14.4" x14ac:dyDescent="0.3"/>
  <cols>
    <col min="1" max="1" width="11.77734375" bestFit="1" customWidth="1"/>
    <col min="2" max="2" width="17.88671875" bestFit="1" customWidth="1"/>
    <col min="3" max="3" width="22.77734375" bestFit="1" customWidth="1"/>
    <col min="4" max="4" width="21.88671875" bestFit="1" customWidth="1"/>
    <col min="5" max="5" width="18.6640625" bestFit="1" customWidth="1"/>
    <col min="6" max="6" width="19.21875" bestFit="1" customWidth="1"/>
    <col min="7" max="7" width="18.77734375" bestFit="1" customWidth="1"/>
    <col min="8" max="8" width="19" bestFit="1" customWidth="1"/>
    <col min="9" max="9" width="13.33203125" bestFit="1" customWidth="1"/>
    <col min="10" max="10" width="16.77734375" bestFit="1" customWidth="1"/>
    <col min="11" max="11" width="22.6640625" bestFit="1" customWidth="1"/>
    <col min="12" max="12" width="14.5546875" bestFit="1" customWidth="1"/>
    <col min="13" max="13" width="7.5546875" bestFit="1" customWidth="1"/>
    <col min="14" max="14" width="9.33203125" bestFit="1" customWidth="1"/>
    <col min="15" max="15" width="21.88671875" bestFit="1" customWidth="1"/>
    <col min="16" max="16" width="26.77734375" bestFit="1" customWidth="1"/>
    <col min="17" max="17" width="17.21875" bestFit="1" customWidth="1"/>
    <col min="18" max="18" width="21" bestFit="1" customWidth="1"/>
    <col min="19" max="19" width="17.6640625" bestFit="1" customWidth="1"/>
    <col min="20" max="20" width="23.77734375" bestFit="1" customWidth="1"/>
    <col min="21" max="21" width="17.21875" bestFit="1" customWidth="1"/>
    <col min="22" max="22" width="30.33203125" bestFit="1" customWidth="1"/>
    <col min="23" max="23" width="27.33203125" bestFit="1" customWidth="1"/>
    <col min="24" max="24" width="24" bestFit="1" customWidth="1"/>
    <col min="25" max="25" width="36.33203125" bestFit="1" customWidth="1"/>
    <col min="26" max="26" width="29.109375" bestFit="1" customWidth="1"/>
  </cols>
  <sheetData>
    <row r="1" spans="1:26" ht="19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1180</v>
      </c>
      <c r="X1" s="6" t="s">
        <v>1181</v>
      </c>
      <c r="Y1" s="6" t="s">
        <v>1196</v>
      </c>
      <c r="Z1" s="6" t="s">
        <v>1182</v>
      </c>
    </row>
    <row r="2" spans="1:26" ht="17.399999999999999" x14ac:dyDescent="0.35">
      <c r="A2" s="3" t="s">
        <v>22</v>
      </c>
      <c r="B2" s="3" t="s">
        <v>23</v>
      </c>
      <c r="C2" s="4">
        <v>45299</v>
      </c>
      <c r="D2" s="3" t="s">
        <v>24</v>
      </c>
      <c r="E2" s="3">
        <v>16100</v>
      </c>
      <c r="F2" s="3">
        <v>36</v>
      </c>
      <c r="G2" s="3">
        <v>13.05</v>
      </c>
      <c r="H2" s="3">
        <v>542.86</v>
      </c>
      <c r="I2" s="3">
        <v>55.5</v>
      </c>
      <c r="J2" s="3" t="s">
        <v>25</v>
      </c>
      <c r="K2" s="3">
        <v>0</v>
      </c>
      <c r="L2" s="3">
        <v>0</v>
      </c>
      <c r="M2" s="3">
        <v>62</v>
      </c>
      <c r="N2" s="3" t="s">
        <v>26</v>
      </c>
      <c r="O2" s="3" t="s">
        <v>27</v>
      </c>
      <c r="P2" s="3" t="s">
        <v>28</v>
      </c>
      <c r="Q2" s="3">
        <v>6</v>
      </c>
      <c r="R2" s="3">
        <v>31020</v>
      </c>
      <c r="S2" s="3">
        <v>596</v>
      </c>
      <c r="T2" s="3" t="s">
        <v>29</v>
      </c>
      <c r="U2" s="3">
        <v>1</v>
      </c>
      <c r="V2" s="3">
        <v>892</v>
      </c>
      <c r="W2" s="5" t="str">
        <f t="shared" ref="W2:W65" si="0">IF(S2&lt;=599, "520-599", IF(S2&lt;=649, "600-649", IF(S2&lt;=699, "650-699", IF(S2&lt;=749, "700-749", "750+"))))</f>
        <v>520-599</v>
      </c>
      <c r="X2" s="5" t="str">
        <f t="shared" ref="X2:X65" si="1">IF(I2&lt;=35, "Low (&lt;=35%)", IF(I2&lt;=50, "Manageable (36-50%)", IF(I2&lt;=75, "High (51-75%)", "Critical (&gt;75%)")))</f>
        <v>High (51-75%)</v>
      </c>
      <c r="Y2" s="5" t="str">
        <f t="shared" ref="Y2:Y65" si="2">IF(OR(P2="Full-Time", P2="Part-Time", P2="Contract"), "Employed", IF(P2="Self-Employed", "Self-Employed", IF(P2="Retired", "Retired", "Other")))</f>
        <v>Self-Employed</v>
      </c>
      <c r="Z2" s="3" t="str">
        <f t="shared" ref="Z2:Z65" si="3">IF(OR(D2="Vacation", D2="Medical Expenses", D2="Wedding", D2="Moving"), "Consumer &amp; Personal", IF(OR(D2="Debt Consolidation", D2="Major Purchase", D2="Auto Loan"), "Debt &amp; Assets", IF(OR(D2="Home Improvement", D2="Business Loan", D2="Education"), "Investment &amp; Growth", "Other")))</f>
        <v>Consumer &amp; Personal</v>
      </c>
    </row>
    <row r="3" spans="1:26" ht="17.399999999999999" x14ac:dyDescent="0.35">
      <c r="A3" s="3" t="s">
        <v>30</v>
      </c>
      <c r="B3" s="3" t="s">
        <v>23</v>
      </c>
      <c r="C3" s="4">
        <v>45517</v>
      </c>
      <c r="D3" s="3" t="s">
        <v>31</v>
      </c>
      <c r="E3" s="3">
        <v>5600</v>
      </c>
      <c r="F3" s="3">
        <v>48</v>
      </c>
      <c r="G3" s="3">
        <v>14.21</v>
      </c>
      <c r="H3" s="3">
        <v>153.62</v>
      </c>
      <c r="I3" s="3">
        <v>40.4</v>
      </c>
      <c r="J3" s="3" t="s">
        <v>32</v>
      </c>
      <c r="K3" s="3">
        <v>138</v>
      </c>
      <c r="L3" s="3">
        <v>1</v>
      </c>
      <c r="M3" s="3">
        <v>62</v>
      </c>
      <c r="N3" s="3" t="s">
        <v>26</v>
      </c>
      <c r="O3" s="3" t="s">
        <v>27</v>
      </c>
      <c r="P3" s="3" t="s">
        <v>28</v>
      </c>
      <c r="Q3" s="3">
        <v>6</v>
      </c>
      <c r="R3" s="3">
        <v>31020</v>
      </c>
      <c r="S3" s="3">
        <v>596</v>
      </c>
      <c r="T3" s="3" t="s">
        <v>29</v>
      </c>
      <c r="U3" s="3">
        <v>1</v>
      </c>
      <c r="V3" s="3">
        <v>892</v>
      </c>
      <c r="W3" s="5" t="str">
        <f t="shared" si="0"/>
        <v>520-599</v>
      </c>
      <c r="X3" s="5" t="str">
        <f t="shared" si="1"/>
        <v>Manageable (36-50%)</v>
      </c>
      <c r="Y3" s="5" t="str">
        <f t="shared" si="2"/>
        <v>Self-Employed</v>
      </c>
      <c r="Z3" s="3" t="str">
        <f t="shared" si="3"/>
        <v>Debt &amp; Assets</v>
      </c>
    </row>
    <row r="4" spans="1:26" ht="17.399999999999999" x14ac:dyDescent="0.35">
      <c r="A4" s="3" t="s">
        <v>33</v>
      </c>
      <c r="B4" s="3" t="s">
        <v>34</v>
      </c>
      <c r="C4" s="4">
        <v>45836</v>
      </c>
      <c r="D4" s="3" t="s">
        <v>35</v>
      </c>
      <c r="E4" s="3">
        <v>44700</v>
      </c>
      <c r="F4" s="3">
        <v>36</v>
      </c>
      <c r="G4" s="3">
        <v>12.37</v>
      </c>
      <c r="H4" s="3">
        <v>1492.59</v>
      </c>
      <c r="I4" s="3">
        <v>70.5</v>
      </c>
      <c r="J4" s="3" t="s">
        <v>25</v>
      </c>
      <c r="K4" s="3">
        <v>0</v>
      </c>
      <c r="L4" s="3">
        <v>0</v>
      </c>
      <c r="M4" s="3">
        <v>24</v>
      </c>
      <c r="N4" s="3" t="s">
        <v>36</v>
      </c>
      <c r="O4" s="3" t="s">
        <v>27</v>
      </c>
      <c r="P4" s="3" t="s">
        <v>37</v>
      </c>
      <c r="Q4" s="3">
        <v>4</v>
      </c>
      <c r="R4" s="3">
        <v>40188</v>
      </c>
      <c r="S4" s="3">
        <v>543</v>
      </c>
      <c r="T4" s="3" t="s">
        <v>38</v>
      </c>
      <c r="U4" s="3">
        <v>2</v>
      </c>
      <c r="V4" s="3">
        <v>869</v>
      </c>
      <c r="W4" s="5" t="str">
        <f t="shared" si="0"/>
        <v>520-599</v>
      </c>
      <c r="X4" s="5" t="str">
        <f t="shared" si="1"/>
        <v>High (51-75%)</v>
      </c>
      <c r="Y4" s="5" t="str">
        <f t="shared" si="2"/>
        <v>Employed</v>
      </c>
      <c r="Z4" s="3" t="str">
        <f t="shared" si="3"/>
        <v>Consumer &amp; Personal</v>
      </c>
    </row>
    <row r="5" spans="1:26" ht="17.399999999999999" x14ac:dyDescent="0.35">
      <c r="A5" s="3" t="s">
        <v>39</v>
      </c>
      <c r="B5" s="3" t="s">
        <v>40</v>
      </c>
      <c r="C5" s="4">
        <v>45795</v>
      </c>
      <c r="D5" s="3" t="s">
        <v>41</v>
      </c>
      <c r="E5" s="3">
        <v>9200</v>
      </c>
      <c r="F5" s="3">
        <v>48</v>
      </c>
      <c r="G5" s="3">
        <v>11.18</v>
      </c>
      <c r="H5" s="3">
        <v>238.58</v>
      </c>
      <c r="I5" s="3">
        <v>59.8</v>
      </c>
      <c r="J5" s="3" t="s">
        <v>32</v>
      </c>
      <c r="K5" s="3">
        <v>34</v>
      </c>
      <c r="L5" s="3">
        <v>1</v>
      </c>
      <c r="M5" s="3">
        <v>50</v>
      </c>
      <c r="N5" s="3" t="s">
        <v>42</v>
      </c>
      <c r="O5" s="3" t="s">
        <v>43</v>
      </c>
      <c r="P5" s="3" t="s">
        <v>44</v>
      </c>
      <c r="Q5" s="3">
        <v>22</v>
      </c>
      <c r="R5" s="3">
        <v>41014</v>
      </c>
      <c r="S5" s="3">
        <v>611</v>
      </c>
      <c r="T5" s="3" t="s">
        <v>45</v>
      </c>
      <c r="U5" s="3">
        <v>0</v>
      </c>
      <c r="V5" s="3">
        <v>1806</v>
      </c>
      <c r="W5" s="5" t="str">
        <f t="shared" si="0"/>
        <v>600-649</v>
      </c>
      <c r="X5" s="5" t="str">
        <f t="shared" si="1"/>
        <v>High (51-75%)</v>
      </c>
      <c r="Y5" s="5" t="str">
        <f t="shared" si="2"/>
        <v>Employed</v>
      </c>
      <c r="Z5" s="3" t="str">
        <f t="shared" si="3"/>
        <v>Debt &amp; Assets</v>
      </c>
    </row>
    <row r="6" spans="1:26" ht="17.399999999999999" x14ac:dyDescent="0.35">
      <c r="A6" s="3" t="s">
        <v>46</v>
      </c>
      <c r="B6" s="3" t="s">
        <v>47</v>
      </c>
      <c r="C6" s="4">
        <v>45740</v>
      </c>
      <c r="D6" s="3" t="s">
        <v>35</v>
      </c>
      <c r="E6" s="3">
        <v>11200</v>
      </c>
      <c r="F6" s="3">
        <v>36</v>
      </c>
      <c r="G6" s="3">
        <v>9.66</v>
      </c>
      <c r="H6" s="3">
        <v>359.61</v>
      </c>
      <c r="I6" s="3">
        <v>44.1</v>
      </c>
      <c r="J6" s="3" t="s">
        <v>48</v>
      </c>
      <c r="K6" s="3">
        <v>0</v>
      </c>
      <c r="L6" s="3">
        <v>0</v>
      </c>
      <c r="M6" s="3">
        <v>43</v>
      </c>
      <c r="N6" s="3" t="s">
        <v>49</v>
      </c>
      <c r="O6" s="3" t="s">
        <v>27</v>
      </c>
      <c r="P6" s="3" t="s">
        <v>37</v>
      </c>
      <c r="Q6" s="3">
        <v>19</v>
      </c>
      <c r="R6" s="3">
        <v>35036</v>
      </c>
      <c r="S6" s="3">
        <v>701</v>
      </c>
      <c r="T6" s="3" t="s">
        <v>45</v>
      </c>
      <c r="U6" s="3">
        <v>2</v>
      </c>
      <c r="V6" s="3">
        <v>928</v>
      </c>
      <c r="W6" s="5" t="str">
        <f t="shared" si="0"/>
        <v>700-749</v>
      </c>
      <c r="X6" s="5" t="str">
        <f t="shared" si="1"/>
        <v>Manageable (36-50%)</v>
      </c>
      <c r="Y6" s="5" t="str">
        <f t="shared" si="2"/>
        <v>Employed</v>
      </c>
      <c r="Z6" s="3" t="str">
        <f t="shared" si="3"/>
        <v>Consumer &amp; Personal</v>
      </c>
    </row>
    <row r="7" spans="1:26" ht="17.399999999999999" x14ac:dyDescent="0.35">
      <c r="A7" s="3" t="s">
        <v>50</v>
      </c>
      <c r="B7" s="3" t="s">
        <v>51</v>
      </c>
      <c r="C7" s="4">
        <v>45766</v>
      </c>
      <c r="D7" s="3" t="s">
        <v>52</v>
      </c>
      <c r="E7" s="3">
        <v>28600</v>
      </c>
      <c r="F7" s="3">
        <v>48</v>
      </c>
      <c r="G7" s="3">
        <v>13.07</v>
      </c>
      <c r="H7" s="3">
        <v>768.26</v>
      </c>
      <c r="I7" s="3">
        <v>37.1</v>
      </c>
      <c r="J7" s="3" t="s">
        <v>48</v>
      </c>
      <c r="K7" s="3">
        <v>0</v>
      </c>
      <c r="L7" s="3">
        <v>0</v>
      </c>
      <c r="M7" s="3">
        <v>46</v>
      </c>
      <c r="N7" s="3" t="s">
        <v>53</v>
      </c>
      <c r="O7" s="3" t="s">
        <v>27</v>
      </c>
      <c r="P7" s="3" t="s">
        <v>37</v>
      </c>
      <c r="Q7" s="3">
        <v>18</v>
      </c>
      <c r="R7" s="3">
        <v>44528</v>
      </c>
      <c r="S7" s="3">
        <v>715</v>
      </c>
      <c r="T7" s="3" t="s">
        <v>38</v>
      </c>
      <c r="U7" s="3">
        <v>0</v>
      </c>
      <c r="V7" s="3">
        <v>608</v>
      </c>
      <c r="W7" s="5" t="str">
        <f t="shared" si="0"/>
        <v>700-749</v>
      </c>
      <c r="X7" s="5" t="str">
        <f t="shared" si="1"/>
        <v>Manageable (36-50%)</v>
      </c>
      <c r="Y7" s="5" t="str">
        <f t="shared" si="2"/>
        <v>Employed</v>
      </c>
      <c r="Z7" s="3" t="str">
        <f t="shared" si="3"/>
        <v>Investment &amp; Growth</v>
      </c>
    </row>
    <row r="8" spans="1:26" ht="17.399999999999999" x14ac:dyDescent="0.35">
      <c r="A8" s="3" t="s">
        <v>54</v>
      </c>
      <c r="B8" s="3" t="s">
        <v>55</v>
      </c>
      <c r="C8" s="4">
        <v>45477</v>
      </c>
      <c r="D8" s="3" t="s">
        <v>56</v>
      </c>
      <c r="E8" s="3">
        <v>39200</v>
      </c>
      <c r="F8" s="3">
        <v>12</v>
      </c>
      <c r="G8" s="3">
        <v>10.23</v>
      </c>
      <c r="H8" s="3">
        <v>3450.5</v>
      </c>
      <c r="I8" s="3">
        <v>49.9</v>
      </c>
      <c r="J8" s="3" t="s">
        <v>25</v>
      </c>
      <c r="K8" s="3">
        <v>0</v>
      </c>
      <c r="L8" s="3">
        <v>0</v>
      </c>
      <c r="M8" s="3">
        <v>40</v>
      </c>
      <c r="N8" s="3" t="s">
        <v>57</v>
      </c>
      <c r="O8" s="3" t="s">
        <v>58</v>
      </c>
      <c r="P8" s="3" t="s">
        <v>44</v>
      </c>
      <c r="Q8" s="3">
        <v>8</v>
      </c>
      <c r="R8" s="3">
        <v>157047</v>
      </c>
      <c r="S8" s="3">
        <v>749</v>
      </c>
      <c r="T8" s="3" t="s">
        <v>45</v>
      </c>
      <c r="U8" s="3">
        <v>1</v>
      </c>
      <c r="V8" s="3">
        <v>3076</v>
      </c>
      <c r="W8" s="5" t="str">
        <f t="shared" si="0"/>
        <v>700-749</v>
      </c>
      <c r="X8" s="5" t="str">
        <f t="shared" si="1"/>
        <v>Manageable (36-50%)</v>
      </c>
      <c r="Y8" s="5" t="str">
        <f t="shared" si="2"/>
        <v>Employed</v>
      </c>
      <c r="Z8" s="3" t="str">
        <f t="shared" si="3"/>
        <v>Consumer &amp; Personal</v>
      </c>
    </row>
    <row r="9" spans="1:26" ht="17.399999999999999" x14ac:dyDescent="0.35">
      <c r="A9" s="3" t="s">
        <v>59</v>
      </c>
      <c r="B9" s="3" t="s">
        <v>60</v>
      </c>
      <c r="C9" s="4">
        <v>45745</v>
      </c>
      <c r="D9" s="3" t="s">
        <v>61</v>
      </c>
      <c r="E9" s="3">
        <v>36300</v>
      </c>
      <c r="F9" s="3">
        <v>48</v>
      </c>
      <c r="G9" s="3">
        <v>14.26</v>
      </c>
      <c r="H9" s="3">
        <v>996.69</v>
      </c>
      <c r="I9" s="3">
        <v>38.200000000000003</v>
      </c>
      <c r="J9" s="3" t="s">
        <v>32</v>
      </c>
      <c r="K9" s="3">
        <v>38</v>
      </c>
      <c r="L9" s="3">
        <v>1</v>
      </c>
      <c r="M9" s="3">
        <v>35</v>
      </c>
      <c r="N9" s="3" t="s">
        <v>62</v>
      </c>
      <c r="O9" s="3" t="s">
        <v>43</v>
      </c>
      <c r="P9" s="3" t="s">
        <v>28</v>
      </c>
      <c r="Q9" s="3">
        <v>5</v>
      </c>
      <c r="R9" s="3">
        <v>84210</v>
      </c>
      <c r="S9" s="3">
        <v>576</v>
      </c>
      <c r="T9" s="3" t="s">
        <v>45</v>
      </c>
      <c r="U9" s="3">
        <v>0</v>
      </c>
      <c r="V9" s="3">
        <v>1682</v>
      </c>
      <c r="W9" s="5" t="str">
        <f t="shared" si="0"/>
        <v>520-599</v>
      </c>
      <c r="X9" s="5" t="str">
        <f t="shared" si="1"/>
        <v>Manageable (36-50%)</v>
      </c>
      <c r="Y9" s="5" t="str">
        <f t="shared" si="2"/>
        <v>Self-Employed</v>
      </c>
      <c r="Z9" s="3" t="str">
        <f t="shared" si="3"/>
        <v>Investment &amp; Growth</v>
      </c>
    </row>
    <row r="10" spans="1:26" ht="17.399999999999999" x14ac:dyDescent="0.35">
      <c r="A10" s="3" t="s">
        <v>63</v>
      </c>
      <c r="B10" s="3" t="s">
        <v>60</v>
      </c>
      <c r="C10" s="4">
        <v>45505</v>
      </c>
      <c r="D10" s="3" t="s">
        <v>64</v>
      </c>
      <c r="E10" s="3">
        <v>39000</v>
      </c>
      <c r="F10" s="3">
        <v>60</v>
      </c>
      <c r="G10" s="3">
        <v>13.73</v>
      </c>
      <c r="H10" s="3">
        <v>902.01</v>
      </c>
      <c r="I10" s="3">
        <v>36.799999999999997</v>
      </c>
      <c r="J10" s="3" t="s">
        <v>48</v>
      </c>
      <c r="K10" s="3">
        <v>0</v>
      </c>
      <c r="L10" s="3">
        <v>0</v>
      </c>
      <c r="M10" s="3">
        <v>35</v>
      </c>
      <c r="N10" s="3" t="s">
        <v>62</v>
      </c>
      <c r="O10" s="3" t="s">
        <v>43</v>
      </c>
      <c r="P10" s="3" t="s">
        <v>28</v>
      </c>
      <c r="Q10" s="3">
        <v>5</v>
      </c>
      <c r="R10" s="3">
        <v>84210</v>
      </c>
      <c r="S10" s="3">
        <v>576</v>
      </c>
      <c r="T10" s="3" t="s">
        <v>45</v>
      </c>
      <c r="U10" s="3">
        <v>0</v>
      </c>
      <c r="V10" s="3">
        <v>1682</v>
      </c>
      <c r="W10" s="5" t="str">
        <f t="shared" si="0"/>
        <v>520-599</v>
      </c>
      <c r="X10" s="5" t="str">
        <f t="shared" si="1"/>
        <v>Manageable (36-50%)</v>
      </c>
      <c r="Y10" s="5" t="str">
        <f t="shared" si="2"/>
        <v>Self-Employed</v>
      </c>
      <c r="Z10" s="3" t="str">
        <f t="shared" si="3"/>
        <v>Investment &amp; Growth</v>
      </c>
    </row>
    <row r="11" spans="1:26" ht="17.399999999999999" x14ac:dyDescent="0.35">
      <c r="A11" s="3" t="s">
        <v>65</v>
      </c>
      <c r="B11" s="3" t="s">
        <v>66</v>
      </c>
      <c r="C11" s="4">
        <v>45597</v>
      </c>
      <c r="D11" s="3" t="s">
        <v>67</v>
      </c>
      <c r="E11" s="3">
        <v>28400</v>
      </c>
      <c r="F11" s="3">
        <v>12</v>
      </c>
      <c r="G11" s="3">
        <v>11.88</v>
      </c>
      <c r="H11" s="3">
        <v>2521.71</v>
      </c>
      <c r="I11" s="3">
        <v>67.8</v>
      </c>
      <c r="J11" s="3" t="s">
        <v>32</v>
      </c>
      <c r="K11" s="3">
        <v>43</v>
      </c>
      <c r="L11" s="3">
        <v>1</v>
      </c>
      <c r="M11" s="3">
        <v>62</v>
      </c>
      <c r="N11" s="3" t="s">
        <v>68</v>
      </c>
      <c r="O11" s="3" t="s">
        <v>43</v>
      </c>
      <c r="P11" s="3" t="s">
        <v>37</v>
      </c>
      <c r="Q11" s="3">
        <v>14</v>
      </c>
      <c r="R11" s="3">
        <v>61289</v>
      </c>
      <c r="S11" s="3">
        <v>563</v>
      </c>
      <c r="T11" s="3" t="s">
        <v>29</v>
      </c>
      <c r="U11" s="3">
        <v>1</v>
      </c>
      <c r="V11" s="3">
        <v>939</v>
      </c>
      <c r="W11" s="5" t="str">
        <f t="shared" si="0"/>
        <v>520-599</v>
      </c>
      <c r="X11" s="5" t="str">
        <f t="shared" si="1"/>
        <v>High (51-75%)</v>
      </c>
      <c r="Y11" s="5" t="str">
        <f t="shared" si="2"/>
        <v>Employed</v>
      </c>
      <c r="Z11" s="3" t="str">
        <f t="shared" si="3"/>
        <v>Debt &amp; Assets</v>
      </c>
    </row>
    <row r="12" spans="1:26" ht="17.399999999999999" x14ac:dyDescent="0.35">
      <c r="A12" s="3" t="s">
        <v>69</v>
      </c>
      <c r="B12" s="3" t="s">
        <v>70</v>
      </c>
      <c r="C12" s="4">
        <v>45463</v>
      </c>
      <c r="D12" s="3" t="s">
        <v>64</v>
      </c>
      <c r="E12" s="3">
        <v>13300</v>
      </c>
      <c r="F12" s="3">
        <v>48</v>
      </c>
      <c r="G12" s="3">
        <v>10.91</v>
      </c>
      <c r="H12" s="3">
        <v>343.16</v>
      </c>
      <c r="I12" s="3">
        <v>18.600000000000001</v>
      </c>
      <c r="J12" s="3" t="s">
        <v>48</v>
      </c>
      <c r="K12" s="3">
        <v>0</v>
      </c>
      <c r="L12" s="3">
        <v>0</v>
      </c>
      <c r="M12" s="3">
        <v>35</v>
      </c>
      <c r="N12" s="3" t="s">
        <v>71</v>
      </c>
      <c r="O12" s="3" t="s">
        <v>72</v>
      </c>
      <c r="P12" s="3" t="s">
        <v>73</v>
      </c>
      <c r="Q12" s="3">
        <v>15</v>
      </c>
      <c r="R12" s="3">
        <v>63908</v>
      </c>
      <c r="S12" s="3">
        <v>643</v>
      </c>
      <c r="T12" s="3" t="s">
        <v>45</v>
      </c>
      <c r="U12" s="3">
        <v>2</v>
      </c>
      <c r="V12" s="3">
        <v>646</v>
      </c>
      <c r="W12" s="5" t="str">
        <f t="shared" si="0"/>
        <v>600-649</v>
      </c>
      <c r="X12" s="5" t="str">
        <f t="shared" si="1"/>
        <v>Low (&lt;=35%)</v>
      </c>
      <c r="Y12" s="5" t="str">
        <f t="shared" si="2"/>
        <v>Employed</v>
      </c>
      <c r="Z12" s="3" t="str">
        <f t="shared" si="3"/>
        <v>Investment &amp; Growth</v>
      </c>
    </row>
    <row r="13" spans="1:26" ht="17.399999999999999" x14ac:dyDescent="0.35">
      <c r="A13" s="3" t="s">
        <v>74</v>
      </c>
      <c r="B13" s="3" t="s">
        <v>70</v>
      </c>
      <c r="C13" s="4">
        <v>45450</v>
      </c>
      <c r="D13" s="3" t="s">
        <v>64</v>
      </c>
      <c r="E13" s="3">
        <v>2700</v>
      </c>
      <c r="F13" s="3">
        <v>48</v>
      </c>
      <c r="G13" s="3">
        <v>12.73</v>
      </c>
      <c r="H13" s="3">
        <v>72.069999999999993</v>
      </c>
      <c r="I13" s="3">
        <v>13.5</v>
      </c>
      <c r="J13" s="3" t="s">
        <v>48</v>
      </c>
      <c r="K13" s="3">
        <v>0</v>
      </c>
      <c r="L13" s="3">
        <v>0</v>
      </c>
      <c r="M13" s="3">
        <v>35</v>
      </c>
      <c r="N13" s="3" t="s">
        <v>71</v>
      </c>
      <c r="O13" s="3" t="s">
        <v>72</v>
      </c>
      <c r="P13" s="3" t="s">
        <v>73</v>
      </c>
      <c r="Q13" s="3">
        <v>15</v>
      </c>
      <c r="R13" s="3">
        <v>63908</v>
      </c>
      <c r="S13" s="3">
        <v>643</v>
      </c>
      <c r="T13" s="3" t="s">
        <v>45</v>
      </c>
      <c r="U13" s="3">
        <v>2</v>
      </c>
      <c r="V13" s="3">
        <v>646</v>
      </c>
      <c r="W13" s="5" t="str">
        <f t="shared" si="0"/>
        <v>600-649</v>
      </c>
      <c r="X13" s="5" t="str">
        <f t="shared" si="1"/>
        <v>Low (&lt;=35%)</v>
      </c>
      <c r="Y13" s="5" t="str">
        <f t="shared" si="2"/>
        <v>Employed</v>
      </c>
      <c r="Z13" s="3" t="str">
        <f t="shared" si="3"/>
        <v>Investment &amp; Growth</v>
      </c>
    </row>
    <row r="14" spans="1:26" ht="17.399999999999999" x14ac:dyDescent="0.35">
      <c r="A14" s="3" t="s">
        <v>75</v>
      </c>
      <c r="B14" s="3" t="s">
        <v>76</v>
      </c>
      <c r="C14" s="4">
        <v>45449</v>
      </c>
      <c r="D14" s="3" t="s">
        <v>77</v>
      </c>
      <c r="E14" s="3">
        <v>15700</v>
      </c>
      <c r="F14" s="3">
        <v>12</v>
      </c>
      <c r="G14" s="3">
        <v>6.57</v>
      </c>
      <c r="H14" s="3">
        <v>1355.36</v>
      </c>
      <c r="I14" s="3">
        <v>126</v>
      </c>
      <c r="J14" s="3" t="s">
        <v>48</v>
      </c>
      <c r="K14" s="3">
        <v>0</v>
      </c>
      <c r="L14" s="3">
        <v>0</v>
      </c>
      <c r="M14" s="3">
        <v>30</v>
      </c>
      <c r="N14" s="3" t="s">
        <v>78</v>
      </c>
      <c r="O14" s="3" t="s">
        <v>79</v>
      </c>
      <c r="P14" s="3" t="s">
        <v>73</v>
      </c>
      <c r="Q14" s="3">
        <v>6</v>
      </c>
      <c r="R14" s="3">
        <v>22845</v>
      </c>
      <c r="S14" s="3">
        <v>824</v>
      </c>
      <c r="T14" s="3" t="s">
        <v>29</v>
      </c>
      <c r="U14" s="3">
        <v>1</v>
      </c>
      <c r="V14" s="3">
        <v>1044</v>
      </c>
      <c r="W14" s="5" t="str">
        <f t="shared" si="0"/>
        <v>750+</v>
      </c>
      <c r="X14" s="5" t="str">
        <f t="shared" si="1"/>
        <v>Critical (&gt;75%)</v>
      </c>
      <c r="Y14" s="5" t="str">
        <f t="shared" si="2"/>
        <v>Employed</v>
      </c>
      <c r="Z14" s="3" t="str">
        <f t="shared" si="3"/>
        <v>Consumer &amp; Personal</v>
      </c>
    </row>
    <row r="15" spans="1:26" ht="17.399999999999999" x14ac:dyDescent="0.35">
      <c r="A15" s="3" t="s">
        <v>80</v>
      </c>
      <c r="B15" s="3" t="s">
        <v>81</v>
      </c>
      <c r="C15" s="4">
        <v>45313</v>
      </c>
      <c r="D15" s="3" t="s">
        <v>35</v>
      </c>
      <c r="E15" s="3">
        <v>38300</v>
      </c>
      <c r="F15" s="3">
        <v>48</v>
      </c>
      <c r="G15" s="3">
        <v>13.9</v>
      </c>
      <c r="H15" s="3">
        <v>1044.68</v>
      </c>
      <c r="I15" s="3">
        <v>63.6</v>
      </c>
      <c r="J15" s="3" t="s">
        <v>48</v>
      </c>
      <c r="K15" s="3">
        <v>0</v>
      </c>
      <c r="L15" s="3">
        <v>0</v>
      </c>
      <c r="M15" s="3">
        <v>30</v>
      </c>
      <c r="N15" s="3" t="s">
        <v>68</v>
      </c>
      <c r="O15" s="3" t="s">
        <v>43</v>
      </c>
      <c r="P15" s="3" t="s">
        <v>37</v>
      </c>
      <c r="Q15" s="3">
        <v>2</v>
      </c>
      <c r="R15" s="3">
        <v>43606</v>
      </c>
      <c r="S15" s="3">
        <v>586</v>
      </c>
      <c r="T15" s="3" t="s">
        <v>45</v>
      </c>
      <c r="U15" s="3">
        <v>2</v>
      </c>
      <c r="V15" s="3">
        <v>1265</v>
      </c>
      <c r="W15" s="5" t="str">
        <f t="shared" si="0"/>
        <v>520-599</v>
      </c>
      <c r="X15" s="5" t="str">
        <f t="shared" si="1"/>
        <v>High (51-75%)</v>
      </c>
      <c r="Y15" s="5" t="str">
        <f t="shared" si="2"/>
        <v>Employed</v>
      </c>
      <c r="Z15" s="3" t="str">
        <f t="shared" si="3"/>
        <v>Consumer &amp; Personal</v>
      </c>
    </row>
    <row r="16" spans="1:26" ht="17.399999999999999" x14ac:dyDescent="0.35">
      <c r="A16" s="3" t="s">
        <v>82</v>
      </c>
      <c r="B16" s="3" t="s">
        <v>83</v>
      </c>
      <c r="C16" s="4">
        <v>45486</v>
      </c>
      <c r="D16" s="3" t="s">
        <v>24</v>
      </c>
      <c r="E16" s="3">
        <v>28800</v>
      </c>
      <c r="F16" s="3">
        <v>60</v>
      </c>
      <c r="G16" s="3">
        <v>9.94</v>
      </c>
      <c r="H16" s="3">
        <v>611.05999999999995</v>
      </c>
      <c r="I16" s="3">
        <v>48.3</v>
      </c>
      <c r="J16" s="3" t="s">
        <v>48</v>
      </c>
      <c r="K16" s="3">
        <v>0</v>
      </c>
      <c r="L16" s="3">
        <v>0</v>
      </c>
      <c r="M16" s="3">
        <v>46</v>
      </c>
      <c r="N16" s="3" t="s">
        <v>84</v>
      </c>
      <c r="O16" s="3" t="s">
        <v>43</v>
      </c>
      <c r="P16" s="3" t="s">
        <v>85</v>
      </c>
      <c r="Q16" s="3">
        <v>0</v>
      </c>
      <c r="R16" s="3">
        <v>44614</v>
      </c>
      <c r="S16" s="3">
        <v>813</v>
      </c>
      <c r="T16" s="3" t="s">
        <v>29</v>
      </c>
      <c r="U16" s="3">
        <v>2</v>
      </c>
      <c r="V16" s="3">
        <v>1184</v>
      </c>
      <c r="W16" s="5" t="str">
        <f t="shared" si="0"/>
        <v>750+</v>
      </c>
      <c r="X16" s="5" t="str">
        <f t="shared" si="1"/>
        <v>Manageable (36-50%)</v>
      </c>
      <c r="Y16" s="5" t="str">
        <f t="shared" si="2"/>
        <v>Retired</v>
      </c>
      <c r="Z16" s="3" t="str">
        <f t="shared" si="3"/>
        <v>Consumer &amp; Personal</v>
      </c>
    </row>
    <row r="17" spans="1:26" ht="17.399999999999999" x14ac:dyDescent="0.35">
      <c r="A17" s="3" t="s">
        <v>86</v>
      </c>
      <c r="B17" s="3" t="s">
        <v>83</v>
      </c>
      <c r="C17" s="4">
        <v>45835</v>
      </c>
      <c r="D17" s="3" t="s">
        <v>24</v>
      </c>
      <c r="E17" s="3">
        <v>23700</v>
      </c>
      <c r="F17" s="3">
        <v>60</v>
      </c>
      <c r="G17" s="3">
        <v>7.25</v>
      </c>
      <c r="H17" s="3">
        <v>472.09</v>
      </c>
      <c r="I17" s="3">
        <v>44.5</v>
      </c>
      <c r="J17" s="3" t="s">
        <v>32</v>
      </c>
      <c r="K17" s="3">
        <v>105</v>
      </c>
      <c r="L17" s="3">
        <v>1</v>
      </c>
      <c r="M17" s="3">
        <v>46</v>
      </c>
      <c r="N17" s="3" t="s">
        <v>84</v>
      </c>
      <c r="O17" s="3" t="s">
        <v>43</v>
      </c>
      <c r="P17" s="3" t="s">
        <v>85</v>
      </c>
      <c r="Q17" s="3">
        <v>0</v>
      </c>
      <c r="R17" s="3">
        <v>44614</v>
      </c>
      <c r="S17" s="3">
        <v>813</v>
      </c>
      <c r="T17" s="3" t="s">
        <v>29</v>
      </c>
      <c r="U17" s="3">
        <v>2</v>
      </c>
      <c r="V17" s="3">
        <v>1184</v>
      </c>
      <c r="W17" s="5" t="str">
        <f t="shared" si="0"/>
        <v>750+</v>
      </c>
      <c r="X17" s="5" t="str">
        <f t="shared" si="1"/>
        <v>Manageable (36-50%)</v>
      </c>
      <c r="Y17" s="5" t="str">
        <f t="shared" si="2"/>
        <v>Retired</v>
      </c>
      <c r="Z17" s="3" t="str">
        <f t="shared" si="3"/>
        <v>Consumer &amp; Personal</v>
      </c>
    </row>
    <row r="18" spans="1:26" ht="17.399999999999999" x14ac:dyDescent="0.35">
      <c r="A18" s="3" t="s">
        <v>87</v>
      </c>
      <c r="B18" s="3" t="s">
        <v>88</v>
      </c>
      <c r="C18" s="4">
        <v>45481</v>
      </c>
      <c r="D18" s="3" t="s">
        <v>35</v>
      </c>
      <c r="E18" s="3">
        <v>2000</v>
      </c>
      <c r="F18" s="3">
        <v>60</v>
      </c>
      <c r="G18" s="3">
        <v>11.65</v>
      </c>
      <c r="H18" s="3">
        <v>44.14</v>
      </c>
      <c r="I18" s="3">
        <v>18.8</v>
      </c>
      <c r="J18" s="3" t="s">
        <v>48</v>
      </c>
      <c r="K18" s="3">
        <v>0</v>
      </c>
      <c r="L18" s="3">
        <v>0</v>
      </c>
      <c r="M18" s="3">
        <v>39</v>
      </c>
      <c r="N18" s="3" t="s">
        <v>89</v>
      </c>
      <c r="O18" s="3" t="s">
        <v>72</v>
      </c>
      <c r="P18" s="3" t="s">
        <v>37</v>
      </c>
      <c r="Q18" s="3">
        <v>14</v>
      </c>
      <c r="R18" s="3">
        <v>79782</v>
      </c>
      <c r="S18" s="3">
        <v>615</v>
      </c>
      <c r="T18" s="3" t="s">
        <v>38</v>
      </c>
      <c r="U18" s="3">
        <v>3</v>
      </c>
      <c r="V18" s="3">
        <v>1207</v>
      </c>
      <c r="W18" s="5" t="str">
        <f t="shared" si="0"/>
        <v>600-649</v>
      </c>
      <c r="X18" s="5" t="str">
        <f t="shared" si="1"/>
        <v>Low (&lt;=35%)</v>
      </c>
      <c r="Y18" s="5" t="str">
        <f t="shared" si="2"/>
        <v>Employed</v>
      </c>
      <c r="Z18" s="3" t="str">
        <f t="shared" si="3"/>
        <v>Consumer &amp; Personal</v>
      </c>
    </row>
    <row r="19" spans="1:26" ht="17.399999999999999" x14ac:dyDescent="0.35">
      <c r="A19" s="3" t="s">
        <v>90</v>
      </c>
      <c r="B19" s="3" t="s">
        <v>88</v>
      </c>
      <c r="C19" s="4">
        <v>45486</v>
      </c>
      <c r="D19" s="3" t="s">
        <v>77</v>
      </c>
      <c r="E19" s="3">
        <v>34300</v>
      </c>
      <c r="F19" s="3">
        <v>60</v>
      </c>
      <c r="G19" s="3">
        <v>13.85</v>
      </c>
      <c r="H19" s="3">
        <v>795.44</v>
      </c>
      <c r="I19" s="3">
        <v>30.1</v>
      </c>
      <c r="J19" s="3" t="s">
        <v>48</v>
      </c>
      <c r="K19" s="3">
        <v>0</v>
      </c>
      <c r="L19" s="3">
        <v>0</v>
      </c>
      <c r="M19" s="3">
        <v>39</v>
      </c>
      <c r="N19" s="3" t="s">
        <v>89</v>
      </c>
      <c r="O19" s="3" t="s">
        <v>72</v>
      </c>
      <c r="P19" s="3" t="s">
        <v>37</v>
      </c>
      <c r="Q19" s="3">
        <v>14</v>
      </c>
      <c r="R19" s="3">
        <v>79782</v>
      </c>
      <c r="S19" s="3">
        <v>615</v>
      </c>
      <c r="T19" s="3" t="s">
        <v>38</v>
      </c>
      <c r="U19" s="3">
        <v>3</v>
      </c>
      <c r="V19" s="3">
        <v>1207</v>
      </c>
      <c r="W19" s="5" t="str">
        <f t="shared" si="0"/>
        <v>600-649</v>
      </c>
      <c r="X19" s="5" t="str">
        <f t="shared" si="1"/>
        <v>Low (&lt;=35%)</v>
      </c>
      <c r="Y19" s="5" t="str">
        <f t="shared" si="2"/>
        <v>Employed</v>
      </c>
      <c r="Z19" s="3" t="str">
        <f t="shared" si="3"/>
        <v>Consumer &amp; Personal</v>
      </c>
    </row>
    <row r="20" spans="1:26" ht="17.399999999999999" x14ac:dyDescent="0.35">
      <c r="A20" s="3" t="s">
        <v>91</v>
      </c>
      <c r="B20" s="3" t="s">
        <v>92</v>
      </c>
      <c r="C20" s="4">
        <v>45360</v>
      </c>
      <c r="D20" s="3" t="s">
        <v>52</v>
      </c>
      <c r="E20" s="3">
        <v>17500</v>
      </c>
      <c r="F20" s="3">
        <v>12</v>
      </c>
      <c r="G20" s="3">
        <v>8.4499999999999993</v>
      </c>
      <c r="H20" s="3">
        <v>1525.94</v>
      </c>
      <c r="I20" s="3">
        <v>41.4</v>
      </c>
      <c r="J20" s="3" t="s">
        <v>32</v>
      </c>
      <c r="K20" s="3">
        <v>63</v>
      </c>
      <c r="L20" s="3">
        <v>1</v>
      </c>
      <c r="M20" s="3">
        <v>54</v>
      </c>
      <c r="N20" s="3" t="s">
        <v>93</v>
      </c>
      <c r="O20" s="3" t="s">
        <v>72</v>
      </c>
      <c r="P20" s="3" t="s">
        <v>37</v>
      </c>
      <c r="Q20" s="3">
        <v>19</v>
      </c>
      <c r="R20" s="3">
        <v>63730</v>
      </c>
      <c r="S20" s="3">
        <v>850</v>
      </c>
      <c r="T20" s="3" t="s">
        <v>29</v>
      </c>
      <c r="U20" s="3">
        <v>2</v>
      </c>
      <c r="V20" s="3">
        <v>671</v>
      </c>
      <c r="W20" s="5" t="str">
        <f t="shared" si="0"/>
        <v>750+</v>
      </c>
      <c r="X20" s="5" t="str">
        <f t="shared" si="1"/>
        <v>Manageable (36-50%)</v>
      </c>
      <c r="Y20" s="5" t="str">
        <f t="shared" si="2"/>
        <v>Employed</v>
      </c>
      <c r="Z20" s="3" t="str">
        <f t="shared" si="3"/>
        <v>Investment &amp; Growth</v>
      </c>
    </row>
    <row r="21" spans="1:26" ht="17.399999999999999" x14ac:dyDescent="0.35">
      <c r="A21" s="3" t="s">
        <v>94</v>
      </c>
      <c r="B21" s="3" t="s">
        <v>95</v>
      </c>
      <c r="C21" s="4">
        <v>45689</v>
      </c>
      <c r="D21" s="3" t="s">
        <v>67</v>
      </c>
      <c r="E21" s="3">
        <v>20600</v>
      </c>
      <c r="F21" s="3">
        <v>12</v>
      </c>
      <c r="G21" s="3">
        <v>11.24</v>
      </c>
      <c r="H21" s="3">
        <v>1822.97</v>
      </c>
      <c r="I21" s="3">
        <v>52.5</v>
      </c>
      <c r="J21" s="3" t="s">
        <v>25</v>
      </c>
      <c r="K21" s="3">
        <v>0</v>
      </c>
      <c r="L21" s="3">
        <v>0</v>
      </c>
      <c r="M21" s="3">
        <v>32</v>
      </c>
      <c r="N21" s="3" t="s">
        <v>96</v>
      </c>
      <c r="O21" s="3" t="s">
        <v>43</v>
      </c>
      <c r="P21" s="3" t="s">
        <v>28</v>
      </c>
      <c r="Q21" s="3">
        <v>9</v>
      </c>
      <c r="R21" s="3">
        <v>74436</v>
      </c>
      <c r="S21" s="3">
        <v>535</v>
      </c>
      <c r="T21" s="3" t="s">
        <v>45</v>
      </c>
      <c r="U21" s="3">
        <v>0</v>
      </c>
      <c r="V21" s="3">
        <v>1435</v>
      </c>
      <c r="W21" s="5" t="str">
        <f t="shared" si="0"/>
        <v>520-599</v>
      </c>
      <c r="X21" s="5" t="str">
        <f t="shared" si="1"/>
        <v>High (51-75%)</v>
      </c>
      <c r="Y21" s="5" t="str">
        <f t="shared" si="2"/>
        <v>Self-Employed</v>
      </c>
      <c r="Z21" s="3" t="str">
        <f t="shared" si="3"/>
        <v>Debt &amp; Assets</v>
      </c>
    </row>
    <row r="22" spans="1:26" ht="17.399999999999999" x14ac:dyDescent="0.35">
      <c r="A22" s="3" t="s">
        <v>97</v>
      </c>
      <c r="B22" s="3" t="s">
        <v>98</v>
      </c>
      <c r="C22" s="4">
        <v>45505</v>
      </c>
      <c r="D22" s="3" t="s">
        <v>52</v>
      </c>
      <c r="E22" s="3">
        <v>23100</v>
      </c>
      <c r="F22" s="3">
        <v>12</v>
      </c>
      <c r="G22" s="3">
        <v>15.15</v>
      </c>
      <c r="H22" s="3">
        <v>2086.6</v>
      </c>
      <c r="I22" s="3">
        <v>88.1</v>
      </c>
      <c r="J22" s="3" t="s">
        <v>99</v>
      </c>
      <c r="K22" s="3">
        <v>15</v>
      </c>
      <c r="L22" s="3">
        <v>0</v>
      </c>
      <c r="M22" s="3">
        <v>41</v>
      </c>
      <c r="N22" s="3" t="s">
        <v>57</v>
      </c>
      <c r="O22" s="3" t="s">
        <v>79</v>
      </c>
      <c r="P22" s="3" t="s">
        <v>37</v>
      </c>
      <c r="Q22" s="3">
        <v>2</v>
      </c>
      <c r="R22" s="3">
        <v>55611</v>
      </c>
      <c r="S22" s="3">
        <v>570</v>
      </c>
      <c r="T22" s="3" t="s">
        <v>29</v>
      </c>
      <c r="U22" s="3">
        <v>0</v>
      </c>
      <c r="V22" s="3">
        <v>1994</v>
      </c>
      <c r="W22" s="5" t="str">
        <f t="shared" si="0"/>
        <v>520-599</v>
      </c>
      <c r="X22" s="5" t="str">
        <f t="shared" si="1"/>
        <v>Critical (&gt;75%)</v>
      </c>
      <c r="Y22" s="5" t="str">
        <f t="shared" si="2"/>
        <v>Employed</v>
      </c>
      <c r="Z22" s="3" t="str">
        <f t="shared" si="3"/>
        <v>Investment &amp; Growth</v>
      </c>
    </row>
    <row r="23" spans="1:26" ht="17.399999999999999" x14ac:dyDescent="0.35">
      <c r="A23" s="3" t="s">
        <v>100</v>
      </c>
      <c r="B23" s="3" t="s">
        <v>101</v>
      </c>
      <c r="C23" s="4">
        <v>45351</v>
      </c>
      <c r="D23" s="3" t="s">
        <v>67</v>
      </c>
      <c r="E23" s="3">
        <v>23300</v>
      </c>
      <c r="F23" s="3">
        <v>48</v>
      </c>
      <c r="G23" s="3">
        <v>13.03</v>
      </c>
      <c r="H23" s="3">
        <v>625.42999999999995</v>
      </c>
      <c r="I23" s="3">
        <v>69.400000000000006</v>
      </c>
      <c r="J23" s="3" t="s">
        <v>48</v>
      </c>
      <c r="K23" s="3">
        <v>0</v>
      </c>
      <c r="L23" s="3">
        <v>0</v>
      </c>
      <c r="M23" s="3">
        <v>30</v>
      </c>
      <c r="N23" s="3" t="s">
        <v>102</v>
      </c>
      <c r="O23" s="3" t="s">
        <v>27</v>
      </c>
      <c r="P23" s="3" t="s">
        <v>37</v>
      </c>
      <c r="Q23" s="3">
        <v>8</v>
      </c>
      <c r="R23" s="3">
        <v>41753</v>
      </c>
      <c r="S23" s="3">
        <v>665</v>
      </c>
      <c r="T23" s="3" t="s">
        <v>29</v>
      </c>
      <c r="U23" s="3">
        <v>4</v>
      </c>
      <c r="V23" s="3">
        <v>1790</v>
      </c>
      <c r="W23" s="5" t="str">
        <f t="shared" si="0"/>
        <v>650-699</v>
      </c>
      <c r="X23" s="5" t="str">
        <f t="shared" si="1"/>
        <v>High (51-75%)</v>
      </c>
      <c r="Y23" s="5" t="str">
        <f t="shared" si="2"/>
        <v>Employed</v>
      </c>
      <c r="Z23" s="3" t="str">
        <f t="shared" si="3"/>
        <v>Debt &amp; Assets</v>
      </c>
    </row>
    <row r="24" spans="1:26" ht="17.399999999999999" x14ac:dyDescent="0.35">
      <c r="A24" s="3" t="s">
        <v>103</v>
      </c>
      <c r="B24" s="3" t="s">
        <v>104</v>
      </c>
      <c r="C24" s="4">
        <v>45528</v>
      </c>
      <c r="D24" s="3" t="s">
        <v>41</v>
      </c>
      <c r="E24" s="3">
        <v>7200</v>
      </c>
      <c r="F24" s="3">
        <v>60</v>
      </c>
      <c r="G24" s="3">
        <v>8.39</v>
      </c>
      <c r="H24" s="3">
        <v>147.34</v>
      </c>
      <c r="I24" s="3">
        <v>18.899999999999999</v>
      </c>
      <c r="J24" s="3" t="s">
        <v>48</v>
      </c>
      <c r="K24" s="3">
        <v>0</v>
      </c>
      <c r="L24" s="3">
        <v>0</v>
      </c>
      <c r="M24" s="3">
        <v>68</v>
      </c>
      <c r="N24" s="3" t="s">
        <v>105</v>
      </c>
      <c r="O24" s="3" t="s">
        <v>43</v>
      </c>
      <c r="P24" s="3" t="s">
        <v>28</v>
      </c>
      <c r="Q24" s="3">
        <v>28</v>
      </c>
      <c r="R24" s="3">
        <v>66055</v>
      </c>
      <c r="S24" s="3">
        <v>726</v>
      </c>
      <c r="T24" s="3" t="s">
        <v>29</v>
      </c>
      <c r="U24" s="3">
        <v>0</v>
      </c>
      <c r="V24" s="3">
        <v>893</v>
      </c>
      <c r="W24" s="5" t="str">
        <f t="shared" si="0"/>
        <v>700-749</v>
      </c>
      <c r="X24" s="5" t="str">
        <f t="shared" si="1"/>
        <v>Low (&lt;=35%)</v>
      </c>
      <c r="Y24" s="5" t="str">
        <f t="shared" si="2"/>
        <v>Self-Employed</v>
      </c>
      <c r="Z24" s="3" t="str">
        <f t="shared" si="3"/>
        <v>Debt &amp; Assets</v>
      </c>
    </row>
    <row r="25" spans="1:26" ht="17.399999999999999" x14ac:dyDescent="0.35">
      <c r="A25" s="3" t="s">
        <v>106</v>
      </c>
      <c r="B25" s="3" t="s">
        <v>107</v>
      </c>
      <c r="C25" s="4">
        <v>45658</v>
      </c>
      <c r="D25" s="3" t="s">
        <v>56</v>
      </c>
      <c r="E25" s="3">
        <v>13700</v>
      </c>
      <c r="F25" s="3">
        <v>12</v>
      </c>
      <c r="G25" s="3">
        <v>15.03</v>
      </c>
      <c r="H25" s="3">
        <v>1236.73</v>
      </c>
      <c r="I25" s="3">
        <v>112.8</v>
      </c>
      <c r="J25" s="3" t="s">
        <v>48</v>
      </c>
      <c r="K25" s="3">
        <v>0</v>
      </c>
      <c r="L25" s="3">
        <v>0</v>
      </c>
      <c r="M25" s="3">
        <v>43</v>
      </c>
      <c r="N25" s="3" t="s">
        <v>49</v>
      </c>
      <c r="O25" s="3" t="s">
        <v>27</v>
      </c>
      <c r="P25" s="3" t="s">
        <v>73</v>
      </c>
      <c r="Q25" s="3">
        <v>2</v>
      </c>
      <c r="R25" s="3">
        <v>23712</v>
      </c>
      <c r="S25" s="3">
        <v>528</v>
      </c>
      <c r="T25" s="3" t="s">
        <v>29</v>
      </c>
      <c r="U25" s="3">
        <v>0</v>
      </c>
      <c r="V25" s="3">
        <v>993</v>
      </c>
      <c r="W25" s="5" t="str">
        <f t="shared" si="0"/>
        <v>520-599</v>
      </c>
      <c r="X25" s="5" t="str">
        <f t="shared" si="1"/>
        <v>Critical (&gt;75%)</v>
      </c>
      <c r="Y25" s="5" t="str">
        <f t="shared" si="2"/>
        <v>Employed</v>
      </c>
      <c r="Z25" s="3" t="str">
        <f t="shared" si="3"/>
        <v>Consumer &amp; Personal</v>
      </c>
    </row>
    <row r="26" spans="1:26" ht="17.399999999999999" x14ac:dyDescent="0.35">
      <c r="A26" s="3" t="s">
        <v>108</v>
      </c>
      <c r="B26" s="3" t="s">
        <v>109</v>
      </c>
      <c r="C26" s="4">
        <v>45745</v>
      </c>
      <c r="D26" s="3" t="s">
        <v>56</v>
      </c>
      <c r="E26" s="3">
        <v>23300</v>
      </c>
      <c r="F26" s="3">
        <v>24</v>
      </c>
      <c r="G26" s="3">
        <v>12.02</v>
      </c>
      <c r="H26" s="3">
        <v>1097.03</v>
      </c>
      <c r="I26" s="3">
        <v>62.4</v>
      </c>
      <c r="J26" s="3" t="s">
        <v>99</v>
      </c>
      <c r="K26" s="3">
        <v>15</v>
      </c>
      <c r="L26" s="3">
        <v>0</v>
      </c>
      <c r="M26" s="3">
        <v>43</v>
      </c>
      <c r="N26" s="3" t="s">
        <v>71</v>
      </c>
      <c r="O26" s="3" t="s">
        <v>27</v>
      </c>
      <c r="P26" s="3" t="s">
        <v>37</v>
      </c>
      <c r="Q26" s="3">
        <v>17</v>
      </c>
      <c r="R26" s="3">
        <v>45948</v>
      </c>
      <c r="S26" s="3">
        <v>639</v>
      </c>
      <c r="T26" s="3" t="s">
        <v>38</v>
      </c>
      <c r="U26" s="3">
        <v>3</v>
      </c>
      <c r="V26" s="3">
        <v>1294</v>
      </c>
      <c r="W26" s="5" t="str">
        <f t="shared" si="0"/>
        <v>600-649</v>
      </c>
      <c r="X26" s="5" t="str">
        <f t="shared" si="1"/>
        <v>High (51-75%)</v>
      </c>
      <c r="Y26" s="5" t="str">
        <f t="shared" si="2"/>
        <v>Employed</v>
      </c>
      <c r="Z26" s="3" t="str">
        <f t="shared" si="3"/>
        <v>Consumer &amp; Personal</v>
      </c>
    </row>
    <row r="27" spans="1:26" ht="17.399999999999999" x14ac:dyDescent="0.35">
      <c r="A27" s="3" t="s">
        <v>110</v>
      </c>
      <c r="B27" s="3" t="s">
        <v>111</v>
      </c>
      <c r="C27" s="4">
        <v>45511</v>
      </c>
      <c r="D27" s="3" t="s">
        <v>52</v>
      </c>
      <c r="E27" s="3">
        <v>32400</v>
      </c>
      <c r="F27" s="3">
        <v>36</v>
      </c>
      <c r="G27" s="3">
        <v>13.31</v>
      </c>
      <c r="H27" s="3">
        <v>1096.53</v>
      </c>
      <c r="I27" s="3">
        <v>60</v>
      </c>
      <c r="J27" s="3" t="s">
        <v>32</v>
      </c>
      <c r="K27" s="3">
        <v>170</v>
      </c>
      <c r="L27" s="3">
        <v>1</v>
      </c>
      <c r="M27" s="3">
        <v>37</v>
      </c>
      <c r="N27" s="3" t="s">
        <v>102</v>
      </c>
      <c r="O27" s="3" t="s">
        <v>72</v>
      </c>
      <c r="P27" s="3" t="s">
        <v>44</v>
      </c>
      <c r="Q27" s="3">
        <v>13</v>
      </c>
      <c r="R27" s="3">
        <v>70937</v>
      </c>
      <c r="S27" s="3">
        <v>584</v>
      </c>
      <c r="T27" s="3" t="s">
        <v>45</v>
      </c>
      <c r="U27" s="3">
        <v>1</v>
      </c>
      <c r="V27" s="3">
        <v>2450</v>
      </c>
      <c r="W27" s="5" t="str">
        <f t="shared" si="0"/>
        <v>520-599</v>
      </c>
      <c r="X27" s="5" t="str">
        <f t="shared" si="1"/>
        <v>High (51-75%)</v>
      </c>
      <c r="Y27" s="5" t="str">
        <f t="shared" si="2"/>
        <v>Employed</v>
      </c>
      <c r="Z27" s="3" t="str">
        <f t="shared" si="3"/>
        <v>Investment &amp; Growth</v>
      </c>
    </row>
    <row r="28" spans="1:26" ht="17.399999999999999" x14ac:dyDescent="0.35">
      <c r="A28" s="3" t="s">
        <v>112</v>
      </c>
      <c r="B28" s="3" t="s">
        <v>111</v>
      </c>
      <c r="C28" s="4">
        <v>45327</v>
      </c>
      <c r="D28" s="3" t="s">
        <v>41</v>
      </c>
      <c r="E28" s="3">
        <v>23700</v>
      </c>
      <c r="F28" s="3">
        <v>48</v>
      </c>
      <c r="G28" s="3">
        <v>10.27</v>
      </c>
      <c r="H28" s="3">
        <v>604.16999999999996</v>
      </c>
      <c r="I28" s="3">
        <v>51.7</v>
      </c>
      <c r="J28" s="3" t="s">
        <v>48</v>
      </c>
      <c r="K28" s="3">
        <v>0</v>
      </c>
      <c r="L28" s="3">
        <v>0</v>
      </c>
      <c r="M28" s="3">
        <v>37</v>
      </c>
      <c r="N28" s="3" t="s">
        <v>102</v>
      </c>
      <c r="O28" s="3" t="s">
        <v>72</v>
      </c>
      <c r="P28" s="3" t="s">
        <v>44</v>
      </c>
      <c r="Q28" s="3">
        <v>13</v>
      </c>
      <c r="R28" s="3">
        <v>70937</v>
      </c>
      <c r="S28" s="3">
        <v>584</v>
      </c>
      <c r="T28" s="3" t="s">
        <v>45</v>
      </c>
      <c r="U28" s="3">
        <v>1</v>
      </c>
      <c r="V28" s="3">
        <v>2450</v>
      </c>
      <c r="W28" s="5" t="str">
        <f t="shared" si="0"/>
        <v>520-599</v>
      </c>
      <c r="X28" s="5" t="str">
        <f t="shared" si="1"/>
        <v>High (51-75%)</v>
      </c>
      <c r="Y28" s="5" t="str">
        <f t="shared" si="2"/>
        <v>Employed</v>
      </c>
      <c r="Z28" s="3" t="str">
        <f t="shared" si="3"/>
        <v>Debt &amp; Assets</v>
      </c>
    </row>
    <row r="29" spans="1:26" ht="17.399999999999999" x14ac:dyDescent="0.35">
      <c r="A29" s="3" t="s">
        <v>113</v>
      </c>
      <c r="B29" s="3" t="s">
        <v>114</v>
      </c>
      <c r="C29" s="4">
        <v>45314</v>
      </c>
      <c r="D29" s="3" t="s">
        <v>41</v>
      </c>
      <c r="E29" s="3">
        <v>7400</v>
      </c>
      <c r="F29" s="3">
        <v>24</v>
      </c>
      <c r="G29" s="3">
        <v>12.65</v>
      </c>
      <c r="H29" s="3">
        <v>350.59</v>
      </c>
      <c r="I29" s="3">
        <v>29.2</v>
      </c>
      <c r="J29" s="3" t="s">
        <v>99</v>
      </c>
      <c r="K29" s="3">
        <v>15</v>
      </c>
      <c r="L29" s="3">
        <v>0</v>
      </c>
      <c r="M29" s="3">
        <v>65</v>
      </c>
      <c r="N29" s="3" t="s">
        <v>115</v>
      </c>
      <c r="O29" s="3" t="s">
        <v>43</v>
      </c>
      <c r="P29" s="3" t="s">
        <v>73</v>
      </c>
      <c r="Q29" s="3">
        <v>6</v>
      </c>
      <c r="R29" s="3">
        <v>24456</v>
      </c>
      <c r="S29" s="3">
        <v>698</v>
      </c>
      <c r="T29" s="3" t="s">
        <v>38</v>
      </c>
      <c r="U29" s="3">
        <v>1</v>
      </c>
      <c r="V29" s="3">
        <v>244</v>
      </c>
      <c r="W29" s="5" t="str">
        <f t="shared" si="0"/>
        <v>650-699</v>
      </c>
      <c r="X29" s="5" t="str">
        <f t="shared" si="1"/>
        <v>Low (&lt;=35%)</v>
      </c>
      <c r="Y29" s="5" t="str">
        <f t="shared" si="2"/>
        <v>Employed</v>
      </c>
      <c r="Z29" s="3" t="str">
        <f t="shared" si="3"/>
        <v>Debt &amp; Assets</v>
      </c>
    </row>
    <row r="30" spans="1:26" ht="17.399999999999999" x14ac:dyDescent="0.35">
      <c r="A30" s="3" t="s">
        <v>116</v>
      </c>
      <c r="B30" s="3" t="s">
        <v>114</v>
      </c>
      <c r="C30" s="4">
        <v>45330</v>
      </c>
      <c r="D30" s="3" t="s">
        <v>35</v>
      </c>
      <c r="E30" s="3">
        <v>13600</v>
      </c>
      <c r="F30" s="3">
        <v>60</v>
      </c>
      <c r="G30" s="3">
        <v>9.14</v>
      </c>
      <c r="H30" s="3">
        <v>283.24</v>
      </c>
      <c r="I30" s="3">
        <v>25.9</v>
      </c>
      <c r="J30" s="3" t="s">
        <v>48</v>
      </c>
      <c r="K30" s="3">
        <v>0</v>
      </c>
      <c r="L30" s="3">
        <v>0</v>
      </c>
      <c r="M30" s="3">
        <v>65</v>
      </c>
      <c r="N30" s="3" t="s">
        <v>115</v>
      </c>
      <c r="O30" s="3" t="s">
        <v>43</v>
      </c>
      <c r="P30" s="3" t="s">
        <v>73</v>
      </c>
      <c r="Q30" s="3">
        <v>6</v>
      </c>
      <c r="R30" s="3">
        <v>24456</v>
      </c>
      <c r="S30" s="3">
        <v>698</v>
      </c>
      <c r="T30" s="3" t="s">
        <v>38</v>
      </c>
      <c r="U30" s="3">
        <v>1</v>
      </c>
      <c r="V30" s="3">
        <v>244</v>
      </c>
      <c r="W30" s="5" t="str">
        <f t="shared" si="0"/>
        <v>650-699</v>
      </c>
      <c r="X30" s="5" t="str">
        <f t="shared" si="1"/>
        <v>Low (&lt;=35%)</v>
      </c>
      <c r="Y30" s="5" t="str">
        <f t="shared" si="2"/>
        <v>Employed</v>
      </c>
      <c r="Z30" s="3" t="str">
        <f t="shared" si="3"/>
        <v>Consumer &amp; Personal</v>
      </c>
    </row>
    <row r="31" spans="1:26" ht="17.399999999999999" x14ac:dyDescent="0.35">
      <c r="A31" s="3" t="s">
        <v>117</v>
      </c>
      <c r="B31" s="3" t="s">
        <v>118</v>
      </c>
      <c r="C31" s="4">
        <v>45514</v>
      </c>
      <c r="D31" s="3" t="s">
        <v>64</v>
      </c>
      <c r="E31" s="3">
        <v>34200</v>
      </c>
      <c r="F31" s="3">
        <v>12</v>
      </c>
      <c r="G31" s="3">
        <v>10.17</v>
      </c>
      <c r="H31" s="3">
        <v>3009.43</v>
      </c>
      <c r="I31" s="3">
        <v>87.7</v>
      </c>
      <c r="J31" s="3" t="s">
        <v>25</v>
      </c>
      <c r="K31" s="3">
        <v>0</v>
      </c>
      <c r="L31" s="3">
        <v>0</v>
      </c>
      <c r="M31" s="3">
        <v>33</v>
      </c>
      <c r="N31" s="3" t="s">
        <v>119</v>
      </c>
      <c r="O31" s="3" t="s">
        <v>79</v>
      </c>
      <c r="P31" s="3" t="s">
        <v>37</v>
      </c>
      <c r="Q31" s="3">
        <v>12</v>
      </c>
      <c r="R31" s="3">
        <v>72054</v>
      </c>
      <c r="S31" s="3">
        <v>761</v>
      </c>
      <c r="T31" s="3" t="s">
        <v>29</v>
      </c>
      <c r="U31" s="3">
        <v>0</v>
      </c>
      <c r="V31" s="3">
        <v>2258</v>
      </c>
      <c r="W31" s="5" t="str">
        <f t="shared" si="0"/>
        <v>750+</v>
      </c>
      <c r="X31" s="5" t="str">
        <f t="shared" si="1"/>
        <v>Critical (&gt;75%)</v>
      </c>
      <c r="Y31" s="5" t="str">
        <f t="shared" si="2"/>
        <v>Employed</v>
      </c>
      <c r="Z31" s="3" t="str">
        <f t="shared" si="3"/>
        <v>Investment &amp; Growth</v>
      </c>
    </row>
    <row r="32" spans="1:26" ht="17.399999999999999" x14ac:dyDescent="0.35">
      <c r="A32" s="3" t="s">
        <v>120</v>
      </c>
      <c r="B32" s="3" t="s">
        <v>118</v>
      </c>
      <c r="C32" s="4">
        <v>45389</v>
      </c>
      <c r="D32" s="3" t="s">
        <v>56</v>
      </c>
      <c r="E32" s="3">
        <v>45200</v>
      </c>
      <c r="F32" s="3">
        <v>60</v>
      </c>
      <c r="G32" s="3">
        <v>11.41</v>
      </c>
      <c r="H32" s="3">
        <v>992.02</v>
      </c>
      <c r="I32" s="3">
        <v>54.1</v>
      </c>
      <c r="J32" s="3" t="s">
        <v>25</v>
      </c>
      <c r="K32" s="3">
        <v>0</v>
      </c>
      <c r="L32" s="3">
        <v>0</v>
      </c>
      <c r="M32" s="3">
        <v>33</v>
      </c>
      <c r="N32" s="3" t="s">
        <v>119</v>
      </c>
      <c r="O32" s="3" t="s">
        <v>79</v>
      </c>
      <c r="P32" s="3" t="s">
        <v>37</v>
      </c>
      <c r="Q32" s="3">
        <v>12</v>
      </c>
      <c r="R32" s="3">
        <v>72054</v>
      </c>
      <c r="S32" s="3">
        <v>761</v>
      </c>
      <c r="T32" s="3" t="s">
        <v>29</v>
      </c>
      <c r="U32" s="3">
        <v>0</v>
      </c>
      <c r="V32" s="3">
        <v>2258</v>
      </c>
      <c r="W32" s="5" t="str">
        <f t="shared" si="0"/>
        <v>750+</v>
      </c>
      <c r="X32" s="5" t="str">
        <f t="shared" si="1"/>
        <v>High (51-75%)</v>
      </c>
      <c r="Y32" s="5" t="str">
        <f t="shared" si="2"/>
        <v>Employed</v>
      </c>
      <c r="Z32" s="3" t="str">
        <f t="shared" si="3"/>
        <v>Consumer &amp; Personal</v>
      </c>
    </row>
    <row r="33" spans="1:26" ht="17.399999999999999" x14ac:dyDescent="0.35">
      <c r="A33" s="3" t="s">
        <v>121</v>
      </c>
      <c r="B33" s="3" t="s">
        <v>122</v>
      </c>
      <c r="C33" s="4">
        <v>45736</v>
      </c>
      <c r="D33" s="3" t="s">
        <v>61</v>
      </c>
      <c r="E33" s="3">
        <v>46200</v>
      </c>
      <c r="F33" s="3">
        <v>36</v>
      </c>
      <c r="G33" s="3">
        <v>10.72</v>
      </c>
      <c r="H33" s="3">
        <v>1506.41</v>
      </c>
      <c r="I33" s="3">
        <v>47.5</v>
      </c>
      <c r="J33" s="3" t="s">
        <v>99</v>
      </c>
      <c r="K33" s="3">
        <v>15</v>
      </c>
      <c r="L33" s="3">
        <v>0</v>
      </c>
      <c r="M33" s="3">
        <v>56</v>
      </c>
      <c r="N33" s="3" t="s">
        <v>123</v>
      </c>
      <c r="O33" s="3" t="s">
        <v>72</v>
      </c>
      <c r="P33" s="3" t="s">
        <v>85</v>
      </c>
      <c r="Q33" s="3">
        <v>10</v>
      </c>
      <c r="R33" s="3">
        <v>80449</v>
      </c>
      <c r="S33" s="3">
        <v>661</v>
      </c>
      <c r="T33" s="3" t="s">
        <v>45</v>
      </c>
      <c r="U33" s="3">
        <v>0</v>
      </c>
      <c r="V33" s="3">
        <v>1679</v>
      </c>
      <c r="W33" s="5" t="str">
        <f t="shared" si="0"/>
        <v>650-699</v>
      </c>
      <c r="X33" s="5" t="str">
        <f t="shared" si="1"/>
        <v>Manageable (36-50%)</v>
      </c>
      <c r="Y33" s="5" t="str">
        <f t="shared" si="2"/>
        <v>Retired</v>
      </c>
      <c r="Z33" s="3" t="str">
        <f t="shared" si="3"/>
        <v>Investment &amp; Growth</v>
      </c>
    </row>
    <row r="34" spans="1:26" ht="17.399999999999999" x14ac:dyDescent="0.35">
      <c r="A34" s="3" t="s">
        <v>124</v>
      </c>
      <c r="B34" s="3" t="s">
        <v>125</v>
      </c>
      <c r="C34" s="4">
        <v>45828</v>
      </c>
      <c r="D34" s="3" t="s">
        <v>77</v>
      </c>
      <c r="E34" s="3">
        <v>32400</v>
      </c>
      <c r="F34" s="3">
        <v>48</v>
      </c>
      <c r="G34" s="3">
        <v>7.65</v>
      </c>
      <c r="H34" s="3">
        <v>785.67</v>
      </c>
      <c r="I34" s="3">
        <v>58.9</v>
      </c>
      <c r="J34" s="3" t="s">
        <v>32</v>
      </c>
      <c r="K34" s="3">
        <v>168</v>
      </c>
      <c r="L34" s="3">
        <v>1</v>
      </c>
      <c r="M34" s="3">
        <v>25</v>
      </c>
      <c r="N34" s="3" t="s">
        <v>89</v>
      </c>
      <c r="O34" s="3" t="s">
        <v>27</v>
      </c>
      <c r="P34" s="3" t="s">
        <v>37</v>
      </c>
      <c r="Q34" s="3">
        <v>2</v>
      </c>
      <c r="R34" s="3">
        <v>36142</v>
      </c>
      <c r="S34" s="3">
        <v>757</v>
      </c>
      <c r="T34" s="3" t="s">
        <v>45</v>
      </c>
      <c r="U34" s="3">
        <v>4</v>
      </c>
      <c r="V34" s="3">
        <v>987</v>
      </c>
      <c r="W34" s="5" t="str">
        <f t="shared" si="0"/>
        <v>750+</v>
      </c>
      <c r="X34" s="5" t="str">
        <f t="shared" si="1"/>
        <v>High (51-75%)</v>
      </c>
      <c r="Y34" s="5" t="str">
        <f t="shared" si="2"/>
        <v>Employed</v>
      </c>
      <c r="Z34" s="3" t="str">
        <f t="shared" si="3"/>
        <v>Consumer &amp; Personal</v>
      </c>
    </row>
    <row r="35" spans="1:26" ht="17.399999999999999" x14ac:dyDescent="0.35">
      <c r="A35" s="3" t="s">
        <v>126</v>
      </c>
      <c r="B35" s="3" t="s">
        <v>127</v>
      </c>
      <c r="C35" s="4">
        <v>45694</v>
      </c>
      <c r="D35" s="3" t="s">
        <v>52</v>
      </c>
      <c r="E35" s="3">
        <v>12400</v>
      </c>
      <c r="F35" s="3">
        <v>12</v>
      </c>
      <c r="G35" s="3">
        <v>14.05</v>
      </c>
      <c r="H35" s="3">
        <v>1113.6500000000001</v>
      </c>
      <c r="I35" s="3">
        <v>58.7</v>
      </c>
      <c r="J35" s="3" t="s">
        <v>48</v>
      </c>
      <c r="K35" s="3">
        <v>0</v>
      </c>
      <c r="L35" s="3">
        <v>0</v>
      </c>
      <c r="M35" s="3">
        <v>67</v>
      </c>
      <c r="N35" s="3" t="s">
        <v>128</v>
      </c>
      <c r="O35" s="3" t="s">
        <v>43</v>
      </c>
      <c r="P35" s="3" t="s">
        <v>37</v>
      </c>
      <c r="Q35" s="3">
        <v>34</v>
      </c>
      <c r="R35" s="3">
        <v>54489</v>
      </c>
      <c r="S35" s="3">
        <v>559</v>
      </c>
      <c r="T35" s="3" t="s">
        <v>38</v>
      </c>
      <c r="U35" s="3">
        <v>0</v>
      </c>
      <c r="V35" s="3">
        <v>1553</v>
      </c>
      <c r="W35" s="5" t="str">
        <f t="shared" si="0"/>
        <v>520-599</v>
      </c>
      <c r="X35" s="5" t="str">
        <f t="shared" si="1"/>
        <v>High (51-75%)</v>
      </c>
      <c r="Y35" s="5" t="str">
        <f t="shared" si="2"/>
        <v>Employed</v>
      </c>
      <c r="Z35" s="3" t="str">
        <f t="shared" si="3"/>
        <v>Investment &amp; Growth</v>
      </c>
    </row>
    <row r="36" spans="1:26" ht="17.399999999999999" x14ac:dyDescent="0.35">
      <c r="A36" s="3" t="s">
        <v>129</v>
      </c>
      <c r="B36" s="3" t="s">
        <v>130</v>
      </c>
      <c r="C36" s="4">
        <v>45779</v>
      </c>
      <c r="D36" s="3" t="s">
        <v>31</v>
      </c>
      <c r="E36" s="3">
        <v>16400</v>
      </c>
      <c r="F36" s="3">
        <v>24</v>
      </c>
      <c r="G36" s="3">
        <v>8.51</v>
      </c>
      <c r="H36" s="3">
        <v>745.55</v>
      </c>
      <c r="I36" s="3">
        <v>53.8</v>
      </c>
      <c r="J36" s="3" t="s">
        <v>48</v>
      </c>
      <c r="K36" s="3">
        <v>0</v>
      </c>
      <c r="L36" s="3">
        <v>0</v>
      </c>
      <c r="M36" s="3">
        <v>54</v>
      </c>
      <c r="N36" s="3" t="s">
        <v>53</v>
      </c>
      <c r="O36" s="3" t="s">
        <v>72</v>
      </c>
      <c r="P36" s="3" t="s">
        <v>37</v>
      </c>
      <c r="Q36" s="3">
        <v>5</v>
      </c>
      <c r="R36" s="3">
        <v>59480</v>
      </c>
      <c r="S36" s="3">
        <v>790</v>
      </c>
      <c r="T36" s="3" t="s">
        <v>29</v>
      </c>
      <c r="U36" s="3">
        <v>2</v>
      </c>
      <c r="V36" s="3">
        <v>1921</v>
      </c>
      <c r="W36" s="5" t="str">
        <f t="shared" si="0"/>
        <v>750+</v>
      </c>
      <c r="X36" s="5" t="str">
        <f t="shared" si="1"/>
        <v>High (51-75%)</v>
      </c>
      <c r="Y36" s="5" t="str">
        <f t="shared" si="2"/>
        <v>Employed</v>
      </c>
      <c r="Z36" s="3" t="str">
        <f t="shared" si="3"/>
        <v>Debt &amp; Assets</v>
      </c>
    </row>
    <row r="37" spans="1:26" ht="17.399999999999999" x14ac:dyDescent="0.35">
      <c r="A37" s="3" t="s">
        <v>131</v>
      </c>
      <c r="B37" s="3" t="s">
        <v>132</v>
      </c>
      <c r="C37" s="4">
        <v>45494</v>
      </c>
      <c r="D37" s="3" t="s">
        <v>35</v>
      </c>
      <c r="E37" s="3">
        <v>27100</v>
      </c>
      <c r="F37" s="3">
        <v>24</v>
      </c>
      <c r="G37" s="3">
        <v>8.64</v>
      </c>
      <c r="H37" s="3">
        <v>1233.5899999999999</v>
      </c>
      <c r="I37" s="3">
        <v>65.3</v>
      </c>
      <c r="J37" s="3" t="s">
        <v>48</v>
      </c>
      <c r="K37" s="3">
        <v>0</v>
      </c>
      <c r="L37" s="3">
        <v>0</v>
      </c>
      <c r="M37" s="3">
        <v>37</v>
      </c>
      <c r="N37" s="3" t="s">
        <v>102</v>
      </c>
      <c r="O37" s="3" t="s">
        <v>43</v>
      </c>
      <c r="P37" s="3" t="s">
        <v>85</v>
      </c>
      <c r="Q37" s="3">
        <v>1</v>
      </c>
      <c r="R37" s="3">
        <v>46167</v>
      </c>
      <c r="S37" s="3">
        <v>826</v>
      </c>
      <c r="T37" s="3" t="s">
        <v>45</v>
      </c>
      <c r="U37" s="3">
        <v>2</v>
      </c>
      <c r="V37" s="3">
        <v>1279</v>
      </c>
      <c r="W37" s="5" t="str">
        <f t="shared" si="0"/>
        <v>750+</v>
      </c>
      <c r="X37" s="5" t="str">
        <f t="shared" si="1"/>
        <v>High (51-75%)</v>
      </c>
      <c r="Y37" s="5" t="str">
        <f t="shared" si="2"/>
        <v>Retired</v>
      </c>
      <c r="Z37" s="3" t="str">
        <f t="shared" si="3"/>
        <v>Consumer &amp; Personal</v>
      </c>
    </row>
    <row r="38" spans="1:26" ht="17.399999999999999" x14ac:dyDescent="0.35">
      <c r="A38" s="3" t="s">
        <v>133</v>
      </c>
      <c r="B38" s="3" t="s">
        <v>134</v>
      </c>
      <c r="C38" s="4">
        <v>45383</v>
      </c>
      <c r="D38" s="3" t="s">
        <v>35</v>
      </c>
      <c r="E38" s="3">
        <v>5400</v>
      </c>
      <c r="F38" s="3">
        <v>48</v>
      </c>
      <c r="G38" s="3">
        <v>10.5</v>
      </c>
      <c r="H38" s="3">
        <v>138.26</v>
      </c>
      <c r="I38" s="3">
        <v>29.3</v>
      </c>
      <c r="J38" s="3" t="s">
        <v>32</v>
      </c>
      <c r="K38" s="3">
        <v>135</v>
      </c>
      <c r="L38" s="3">
        <v>1</v>
      </c>
      <c r="M38" s="3">
        <v>42</v>
      </c>
      <c r="N38" s="3" t="s">
        <v>135</v>
      </c>
      <c r="O38" s="3" t="s">
        <v>72</v>
      </c>
      <c r="P38" s="3" t="s">
        <v>37</v>
      </c>
      <c r="Q38" s="3">
        <v>8</v>
      </c>
      <c r="R38" s="3">
        <v>116049</v>
      </c>
      <c r="S38" s="3">
        <v>667</v>
      </c>
      <c r="T38" s="3" t="s">
        <v>45</v>
      </c>
      <c r="U38" s="3">
        <v>2</v>
      </c>
      <c r="V38" s="3">
        <v>2694</v>
      </c>
      <c r="W38" s="5" t="str">
        <f t="shared" si="0"/>
        <v>650-699</v>
      </c>
      <c r="X38" s="5" t="str">
        <f t="shared" si="1"/>
        <v>Low (&lt;=35%)</v>
      </c>
      <c r="Y38" s="5" t="str">
        <f t="shared" si="2"/>
        <v>Employed</v>
      </c>
      <c r="Z38" s="3" t="str">
        <f t="shared" si="3"/>
        <v>Consumer &amp; Personal</v>
      </c>
    </row>
    <row r="39" spans="1:26" ht="17.399999999999999" x14ac:dyDescent="0.35">
      <c r="A39" s="3" t="s">
        <v>136</v>
      </c>
      <c r="B39" s="3" t="s">
        <v>137</v>
      </c>
      <c r="C39" s="4">
        <v>45465</v>
      </c>
      <c r="D39" s="3" t="s">
        <v>52</v>
      </c>
      <c r="E39" s="3">
        <v>5500</v>
      </c>
      <c r="F39" s="3">
        <v>12</v>
      </c>
      <c r="G39" s="3">
        <v>14.25</v>
      </c>
      <c r="H39" s="3">
        <v>494.48</v>
      </c>
      <c r="I39" s="3">
        <v>77.2</v>
      </c>
      <c r="J39" s="3" t="s">
        <v>25</v>
      </c>
      <c r="K39" s="3">
        <v>0</v>
      </c>
      <c r="L39" s="3">
        <v>0</v>
      </c>
      <c r="M39" s="3">
        <v>26</v>
      </c>
      <c r="N39" s="3" t="s">
        <v>93</v>
      </c>
      <c r="O39" s="3" t="s">
        <v>27</v>
      </c>
      <c r="P39" s="3" t="s">
        <v>73</v>
      </c>
      <c r="Q39" s="3">
        <v>0</v>
      </c>
      <c r="R39" s="3">
        <v>23219</v>
      </c>
      <c r="S39" s="3">
        <v>576</v>
      </c>
      <c r="T39" s="3" t="s">
        <v>45</v>
      </c>
      <c r="U39" s="3">
        <v>0</v>
      </c>
      <c r="V39" s="3">
        <v>999</v>
      </c>
      <c r="W39" s="5" t="str">
        <f t="shared" si="0"/>
        <v>520-599</v>
      </c>
      <c r="X39" s="5" t="str">
        <f t="shared" si="1"/>
        <v>Critical (&gt;75%)</v>
      </c>
      <c r="Y39" s="5" t="str">
        <f t="shared" si="2"/>
        <v>Employed</v>
      </c>
      <c r="Z39" s="3" t="str">
        <f t="shared" si="3"/>
        <v>Investment &amp; Growth</v>
      </c>
    </row>
    <row r="40" spans="1:26" ht="17.399999999999999" x14ac:dyDescent="0.35">
      <c r="A40" s="3" t="s">
        <v>138</v>
      </c>
      <c r="B40" s="3" t="s">
        <v>139</v>
      </c>
      <c r="C40" s="4">
        <v>45674</v>
      </c>
      <c r="D40" s="3" t="s">
        <v>56</v>
      </c>
      <c r="E40" s="3">
        <v>46400</v>
      </c>
      <c r="F40" s="3">
        <v>24</v>
      </c>
      <c r="G40" s="3">
        <v>7.45</v>
      </c>
      <c r="H40" s="3">
        <v>2086.9299999999998</v>
      </c>
      <c r="I40" s="3">
        <v>42.1</v>
      </c>
      <c r="J40" s="3" t="s">
        <v>48</v>
      </c>
      <c r="K40" s="3">
        <v>0</v>
      </c>
      <c r="L40" s="3">
        <v>0</v>
      </c>
      <c r="M40" s="3">
        <v>26</v>
      </c>
      <c r="N40" s="3" t="s">
        <v>68</v>
      </c>
      <c r="O40" s="3" t="s">
        <v>72</v>
      </c>
      <c r="P40" s="3" t="s">
        <v>37</v>
      </c>
      <c r="Q40" s="3">
        <v>5</v>
      </c>
      <c r="R40" s="3">
        <v>68134</v>
      </c>
      <c r="S40" s="3">
        <v>813</v>
      </c>
      <c r="T40" s="3" t="s">
        <v>45</v>
      </c>
      <c r="U40" s="3">
        <v>2</v>
      </c>
      <c r="V40" s="3">
        <v>306</v>
      </c>
      <c r="W40" s="5" t="str">
        <f t="shared" si="0"/>
        <v>750+</v>
      </c>
      <c r="X40" s="5" t="str">
        <f t="shared" si="1"/>
        <v>Manageable (36-50%)</v>
      </c>
      <c r="Y40" s="5" t="str">
        <f t="shared" si="2"/>
        <v>Employed</v>
      </c>
      <c r="Z40" s="3" t="str">
        <f t="shared" si="3"/>
        <v>Consumer &amp; Personal</v>
      </c>
    </row>
    <row r="41" spans="1:26" ht="17.399999999999999" x14ac:dyDescent="0.35">
      <c r="A41" s="3" t="s">
        <v>140</v>
      </c>
      <c r="B41" s="3" t="s">
        <v>141</v>
      </c>
      <c r="C41" s="4">
        <v>45405</v>
      </c>
      <c r="D41" s="3" t="s">
        <v>64</v>
      </c>
      <c r="E41" s="3">
        <v>46500</v>
      </c>
      <c r="F41" s="3">
        <v>36</v>
      </c>
      <c r="G41" s="3">
        <v>10.02</v>
      </c>
      <c r="H41" s="3">
        <v>1500.86</v>
      </c>
      <c r="I41" s="3">
        <v>37.5</v>
      </c>
      <c r="J41" s="3" t="s">
        <v>48</v>
      </c>
      <c r="K41" s="3">
        <v>0</v>
      </c>
      <c r="L41" s="3">
        <v>0</v>
      </c>
      <c r="M41" s="3">
        <v>57</v>
      </c>
      <c r="N41" s="3" t="s">
        <v>84</v>
      </c>
      <c r="O41" s="3" t="s">
        <v>79</v>
      </c>
      <c r="P41" s="3" t="s">
        <v>28</v>
      </c>
      <c r="Q41" s="3">
        <v>16</v>
      </c>
      <c r="R41" s="3">
        <v>72778</v>
      </c>
      <c r="S41" s="3">
        <v>603</v>
      </c>
      <c r="T41" s="3" t="s">
        <v>38</v>
      </c>
      <c r="U41" s="3">
        <v>2</v>
      </c>
      <c r="V41" s="3">
        <v>774</v>
      </c>
      <c r="W41" s="5" t="str">
        <f t="shared" si="0"/>
        <v>600-649</v>
      </c>
      <c r="X41" s="5" t="str">
        <f t="shared" si="1"/>
        <v>Manageable (36-50%)</v>
      </c>
      <c r="Y41" s="5" t="str">
        <f t="shared" si="2"/>
        <v>Self-Employed</v>
      </c>
      <c r="Z41" s="3" t="str">
        <f t="shared" si="3"/>
        <v>Investment &amp; Growth</v>
      </c>
    </row>
    <row r="42" spans="1:26" ht="17.399999999999999" x14ac:dyDescent="0.35">
      <c r="A42" s="3" t="s">
        <v>142</v>
      </c>
      <c r="B42" s="3" t="s">
        <v>143</v>
      </c>
      <c r="C42" s="4">
        <v>45436</v>
      </c>
      <c r="D42" s="3" t="s">
        <v>64</v>
      </c>
      <c r="E42" s="3">
        <v>16200</v>
      </c>
      <c r="F42" s="3">
        <v>36</v>
      </c>
      <c r="G42" s="3">
        <v>8.58</v>
      </c>
      <c r="H42" s="3">
        <v>511.99</v>
      </c>
      <c r="I42" s="3">
        <v>58.8</v>
      </c>
      <c r="J42" s="3" t="s">
        <v>48</v>
      </c>
      <c r="K42" s="3">
        <v>0</v>
      </c>
      <c r="L42" s="3">
        <v>0</v>
      </c>
      <c r="M42" s="3">
        <v>40</v>
      </c>
      <c r="N42" s="3" t="s">
        <v>42</v>
      </c>
      <c r="O42" s="3" t="s">
        <v>43</v>
      </c>
      <c r="P42" s="3" t="s">
        <v>28</v>
      </c>
      <c r="Q42" s="3">
        <v>8</v>
      </c>
      <c r="R42" s="3">
        <v>53589</v>
      </c>
      <c r="S42" s="3">
        <v>850</v>
      </c>
      <c r="T42" s="3" t="s">
        <v>45</v>
      </c>
      <c r="U42" s="3">
        <v>3</v>
      </c>
      <c r="V42" s="3">
        <v>2112</v>
      </c>
      <c r="W42" s="5" t="str">
        <f t="shared" si="0"/>
        <v>750+</v>
      </c>
      <c r="X42" s="5" t="str">
        <f t="shared" si="1"/>
        <v>High (51-75%)</v>
      </c>
      <c r="Y42" s="5" t="str">
        <f t="shared" si="2"/>
        <v>Self-Employed</v>
      </c>
      <c r="Z42" s="3" t="str">
        <f t="shared" si="3"/>
        <v>Investment &amp; Growth</v>
      </c>
    </row>
    <row r="43" spans="1:26" ht="17.399999999999999" x14ac:dyDescent="0.35">
      <c r="A43" s="3" t="s">
        <v>144</v>
      </c>
      <c r="B43" s="3" t="s">
        <v>145</v>
      </c>
      <c r="C43" s="4">
        <v>45569</v>
      </c>
      <c r="D43" s="3" t="s">
        <v>35</v>
      </c>
      <c r="E43" s="3">
        <v>4300</v>
      </c>
      <c r="F43" s="3">
        <v>36</v>
      </c>
      <c r="G43" s="3">
        <v>9.34</v>
      </c>
      <c r="H43" s="3">
        <v>137.41999999999999</v>
      </c>
      <c r="I43" s="3">
        <v>30.9</v>
      </c>
      <c r="J43" s="3" t="s">
        <v>32</v>
      </c>
      <c r="K43" s="3">
        <v>32</v>
      </c>
      <c r="L43" s="3">
        <v>1</v>
      </c>
      <c r="M43" s="3">
        <v>27</v>
      </c>
      <c r="N43" s="3" t="s">
        <v>42</v>
      </c>
      <c r="O43" s="3" t="s">
        <v>43</v>
      </c>
      <c r="P43" s="3" t="s">
        <v>44</v>
      </c>
      <c r="Q43" s="3">
        <v>2</v>
      </c>
      <c r="R43" s="3">
        <v>43412</v>
      </c>
      <c r="S43" s="3">
        <v>700</v>
      </c>
      <c r="T43" s="3" t="s">
        <v>45</v>
      </c>
      <c r="U43" s="3">
        <v>0</v>
      </c>
      <c r="V43" s="3">
        <v>980</v>
      </c>
      <c r="W43" s="5" t="str">
        <f t="shared" si="0"/>
        <v>700-749</v>
      </c>
      <c r="X43" s="5" t="str">
        <f t="shared" si="1"/>
        <v>Low (&lt;=35%)</v>
      </c>
      <c r="Y43" s="5" t="str">
        <f t="shared" si="2"/>
        <v>Employed</v>
      </c>
      <c r="Z43" s="3" t="str">
        <f t="shared" si="3"/>
        <v>Consumer &amp; Personal</v>
      </c>
    </row>
    <row r="44" spans="1:26" ht="17.399999999999999" x14ac:dyDescent="0.35">
      <c r="A44" s="3" t="s">
        <v>146</v>
      </c>
      <c r="B44" s="3" t="s">
        <v>145</v>
      </c>
      <c r="C44" s="4">
        <v>45311</v>
      </c>
      <c r="D44" s="3" t="s">
        <v>61</v>
      </c>
      <c r="E44" s="3">
        <v>10500</v>
      </c>
      <c r="F44" s="3">
        <v>36</v>
      </c>
      <c r="G44" s="3">
        <v>12.65</v>
      </c>
      <c r="H44" s="3">
        <v>352.02</v>
      </c>
      <c r="I44" s="3">
        <v>36.799999999999997</v>
      </c>
      <c r="J44" s="3" t="s">
        <v>99</v>
      </c>
      <c r="K44" s="3">
        <v>15</v>
      </c>
      <c r="L44" s="3">
        <v>0</v>
      </c>
      <c r="M44" s="3">
        <v>27</v>
      </c>
      <c r="N44" s="3" t="s">
        <v>42</v>
      </c>
      <c r="O44" s="3" t="s">
        <v>43</v>
      </c>
      <c r="P44" s="3" t="s">
        <v>44</v>
      </c>
      <c r="Q44" s="3">
        <v>2</v>
      </c>
      <c r="R44" s="3">
        <v>43412</v>
      </c>
      <c r="S44" s="3">
        <v>700</v>
      </c>
      <c r="T44" s="3" t="s">
        <v>45</v>
      </c>
      <c r="U44" s="3">
        <v>0</v>
      </c>
      <c r="V44" s="3">
        <v>980</v>
      </c>
      <c r="W44" s="5" t="str">
        <f t="shared" si="0"/>
        <v>700-749</v>
      </c>
      <c r="X44" s="5" t="str">
        <f t="shared" si="1"/>
        <v>Manageable (36-50%)</v>
      </c>
      <c r="Y44" s="5" t="str">
        <f t="shared" si="2"/>
        <v>Employed</v>
      </c>
      <c r="Z44" s="3" t="str">
        <f t="shared" si="3"/>
        <v>Investment &amp; Growth</v>
      </c>
    </row>
    <row r="45" spans="1:26" ht="17.399999999999999" x14ac:dyDescent="0.35">
      <c r="A45" s="3" t="s">
        <v>147</v>
      </c>
      <c r="B45" s="3" t="s">
        <v>148</v>
      </c>
      <c r="C45" s="4">
        <v>45836</v>
      </c>
      <c r="D45" s="3" t="s">
        <v>35</v>
      </c>
      <c r="E45" s="3">
        <v>6800</v>
      </c>
      <c r="F45" s="3">
        <v>36</v>
      </c>
      <c r="G45" s="3">
        <v>12.32</v>
      </c>
      <c r="H45" s="3">
        <v>226.9</v>
      </c>
      <c r="I45" s="3">
        <v>18.399999999999999</v>
      </c>
      <c r="J45" s="3" t="s">
        <v>32</v>
      </c>
      <c r="K45" s="3">
        <v>80</v>
      </c>
      <c r="L45" s="3">
        <v>1</v>
      </c>
      <c r="M45" s="3">
        <v>67</v>
      </c>
      <c r="N45" s="3" t="s">
        <v>149</v>
      </c>
      <c r="O45" s="3" t="s">
        <v>43</v>
      </c>
      <c r="P45" s="3" t="s">
        <v>37</v>
      </c>
      <c r="Q45" s="3">
        <v>34</v>
      </c>
      <c r="R45" s="3">
        <v>45400</v>
      </c>
      <c r="S45" s="3">
        <v>606</v>
      </c>
      <c r="T45" s="3" t="s">
        <v>38</v>
      </c>
      <c r="U45" s="3">
        <v>2</v>
      </c>
      <c r="V45" s="3">
        <v>469</v>
      </c>
      <c r="W45" s="5" t="str">
        <f t="shared" si="0"/>
        <v>600-649</v>
      </c>
      <c r="X45" s="5" t="str">
        <f t="shared" si="1"/>
        <v>Low (&lt;=35%)</v>
      </c>
      <c r="Y45" s="5" t="str">
        <f t="shared" si="2"/>
        <v>Employed</v>
      </c>
      <c r="Z45" s="3" t="str">
        <f t="shared" si="3"/>
        <v>Consumer &amp; Personal</v>
      </c>
    </row>
    <row r="46" spans="1:26" ht="17.399999999999999" x14ac:dyDescent="0.35">
      <c r="A46" s="3" t="s">
        <v>150</v>
      </c>
      <c r="B46" s="3" t="s">
        <v>148</v>
      </c>
      <c r="C46" s="4">
        <v>45834</v>
      </c>
      <c r="D46" s="3" t="s">
        <v>35</v>
      </c>
      <c r="E46" s="3">
        <v>28900</v>
      </c>
      <c r="F46" s="3">
        <v>12</v>
      </c>
      <c r="G46" s="3">
        <v>10.1</v>
      </c>
      <c r="H46" s="3">
        <v>2542.11</v>
      </c>
      <c r="I46" s="3">
        <v>79.599999999999994</v>
      </c>
      <c r="J46" s="3" t="s">
        <v>32</v>
      </c>
      <c r="K46" s="3">
        <v>155</v>
      </c>
      <c r="L46" s="3">
        <v>1</v>
      </c>
      <c r="M46" s="3">
        <v>67</v>
      </c>
      <c r="N46" s="3" t="s">
        <v>149</v>
      </c>
      <c r="O46" s="3" t="s">
        <v>43</v>
      </c>
      <c r="P46" s="3" t="s">
        <v>37</v>
      </c>
      <c r="Q46" s="3">
        <v>34</v>
      </c>
      <c r="R46" s="3">
        <v>45400</v>
      </c>
      <c r="S46" s="3">
        <v>606</v>
      </c>
      <c r="T46" s="3" t="s">
        <v>38</v>
      </c>
      <c r="U46" s="3">
        <v>2</v>
      </c>
      <c r="V46" s="3">
        <v>469</v>
      </c>
      <c r="W46" s="5" t="str">
        <f t="shared" si="0"/>
        <v>600-649</v>
      </c>
      <c r="X46" s="5" t="str">
        <f t="shared" si="1"/>
        <v>Critical (&gt;75%)</v>
      </c>
      <c r="Y46" s="5" t="str">
        <f t="shared" si="2"/>
        <v>Employed</v>
      </c>
      <c r="Z46" s="3" t="str">
        <f t="shared" si="3"/>
        <v>Consumer &amp; Personal</v>
      </c>
    </row>
    <row r="47" spans="1:26" ht="17.399999999999999" x14ac:dyDescent="0.35">
      <c r="A47" s="3" t="s">
        <v>151</v>
      </c>
      <c r="B47" s="3" t="s">
        <v>152</v>
      </c>
      <c r="C47" s="4">
        <v>45533</v>
      </c>
      <c r="D47" s="3" t="s">
        <v>56</v>
      </c>
      <c r="E47" s="3">
        <v>12800</v>
      </c>
      <c r="F47" s="3">
        <v>36</v>
      </c>
      <c r="G47" s="3">
        <v>13.96</v>
      </c>
      <c r="H47" s="3">
        <v>437.23</v>
      </c>
      <c r="I47" s="3">
        <v>32.200000000000003</v>
      </c>
      <c r="J47" s="3" t="s">
        <v>99</v>
      </c>
      <c r="K47" s="3">
        <v>30</v>
      </c>
      <c r="L47" s="3">
        <v>0</v>
      </c>
      <c r="M47" s="3">
        <v>30</v>
      </c>
      <c r="N47" s="3" t="s">
        <v>62</v>
      </c>
      <c r="O47" s="3" t="s">
        <v>27</v>
      </c>
      <c r="P47" s="3" t="s">
        <v>37</v>
      </c>
      <c r="Q47" s="3">
        <v>5</v>
      </c>
      <c r="R47" s="3">
        <v>55244</v>
      </c>
      <c r="S47" s="3">
        <v>550</v>
      </c>
      <c r="T47" s="3" t="s">
        <v>38</v>
      </c>
      <c r="U47" s="3">
        <v>2</v>
      </c>
      <c r="V47" s="3">
        <v>1044</v>
      </c>
      <c r="W47" s="5" t="str">
        <f t="shared" si="0"/>
        <v>520-599</v>
      </c>
      <c r="X47" s="5" t="str">
        <f t="shared" si="1"/>
        <v>Low (&lt;=35%)</v>
      </c>
      <c r="Y47" s="5" t="str">
        <f t="shared" si="2"/>
        <v>Employed</v>
      </c>
      <c r="Z47" s="3" t="str">
        <f t="shared" si="3"/>
        <v>Consumer &amp; Personal</v>
      </c>
    </row>
    <row r="48" spans="1:26" ht="17.399999999999999" x14ac:dyDescent="0.35">
      <c r="A48" s="3" t="s">
        <v>153</v>
      </c>
      <c r="B48" s="3" t="s">
        <v>154</v>
      </c>
      <c r="C48" s="4">
        <v>45578</v>
      </c>
      <c r="D48" s="3" t="s">
        <v>41</v>
      </c>
      <c r="E48" s="3">
        <v>44700</v>
      </c>
      <c r="F48" s="3">
        <v>12</v>
      </c>
      <c r="G48" s="3">
        <v>14.32</v>
      </c>
      <c r="H48" s="3">
        <v>4020.22</v>
      </c>
      <c r="I48" s="3">
        <v>93.8</v>
      </c>
      <c r="J48" s="3" t="s">
        <v>32</v>
      </c>
      <c r="K48" s="3">
        <v>117</v>
      </c>
      <c r="L48" s="3">
        <v>1</v>
      </c>
      <c r="M48" s="3">
        <v>57</v>
      </c>
      <c r="N48" s="3" t="s">
        <v>68</v>
      </c>
      <c r="O48" s="3" t="s">
        <v>72</v>
      </c>
      <c r="P48" s="3" t="s">
        <v>37</v>
      </c>
      <c r="Q48" s="3">
        <v>15</v>
      </c>
      <c r="R48" s="3">
        <v>107852</v>
      </c>
      <c r="S48" s="3">
        <v>624</v>
      </c>
      <c r="T48" s="3" t="s">
        <v>29</v>
      </c>
      <c r="U48" s="3">
        <v>3</v>
      </c>
      <c r="V48" s="3">
        <v>4410</v>
      </c>
      <c r="W48" s="5" t="str">
        <f t="shared" si="0"/>
        <v>600-649</v>
      </c>
      <c r="X48" s="5" t="str">
        <f t="shared" si="1"/>
        <v>Critical (&gt;75%)</v>
      </c>
      <c r="Y48" s="5" t="str">
        <f t="shared" si="2"/>
        <v>Employed</v>
      </c>
      <c r="Z48" s="3" t="str">
        <f t="shared" si="3"/>
        <v>Debt &amp; Assets</v>
      </c>
    </row>
    <row r="49" spans="1:26" ht="17.399999999999999" x14ac:dyDescent="0.35">
      <c r="A49" s="3" t="s">
        <v>155</v>
      </c>
      <c r="B49" s="3" t="s">
        <v>156</v>
      </c>
      <c r="C49" s="4">
        <v>45524</v>
      </c>
      <c r="D49" s="3" t="s">
        <v>56</v>
      </c>
      <c r="E49" s="3">
        <v>5900</v>
      </c>
      <c r="F49" s="3">
        <v>60</v>
      </c>
      <c r="G49" s="3">
        <v>12.11</v>
      </c>
      <c r="H49" s="3">
        <v>131.57</v>
      </c>
      <c r="I49" s="3">
        <v>29.4</v>
      </c>
      <c r="J49" s="3" t="s">
        <v>48</v>
      </c>
      <c r="K49" s="3">
        <v>0</v>
      </c>
      <c r="L49" s="3">
        <v>0</v>
      </c>
      <c r="M49" s="3">
        <v>23</v>
      </c>
      <c r="N49" s="3" t="s">
        <v>68</v>
      </c>
      <c r="O49" s="3" t="s">
        <v>27</v>
      </c>
      <c r="P49" s="3" t="s">
        <v>85</v>
      </c>
      <c r="Q49" s="3">
        <v>1</v>
      </c>
      <c r="R49" s="3">
        <v>29964</v>
      </c>
      <c r="S49" s="3">
        <v>735</v>
      </c>
      <c r="T49" s="3" t="s">
        <v>45</v>
      </c>
      <c r="U49" s="3">
        <v>2</v>
      </c>
      <c r="V49" s="3">
        <v>602</v>
      </c>
      <c r="W49" s="5" t="str">
        <f t="shared" si="0"/>
        <v>700-749</v>
      </c>
      <c r="X49" s="5" t="str">
        <f t="shared" si="1"/>
        <v>Low (&lt;=35%)</v>
      </c>
      <c r="Y49" s="5" t="str">
        <f t="shared" si="2"/>
        <v>Retired</v>
      </c>
      <c r="Z49" s="3" t="str">
        <f t="shared" si="3"/>
        <v>Consumer &amp; Personal</v>
      </c>
    </row>
    <row r="50" spans="1:26" ht="17.399999999999999" x14ac:dyDescent="0.35">
      <c r="A50" s="3" t="s">
        <v>157</v>
      </c>
      <c r="B50" s="3" t="s">
        <v>156</v>
      </c>
      <c r="C50" s="4">
        <v>45433</v>
      </c>
      <c r="D50" s="3" t="s">
        <v>41</v>
      </c>
      <c r="E50" s="3">
        <v>15100</v>
      </c>
      <c r="F50" s="3">
        <v>60</v>
      </c>
      <c r="G50" s="3">
        <v>8.41</v>
      </c>
      <c r="H50" s="3">
        <v>309.14999999999998</v>
      </c>
      <c r="I50" s="3">
        <v>36.5</v>
      </c>
      <c r="J50" s="3" t="s">
        <v>48</v>
      </c>
      <c r="K50" s="3">
        <v>0</v>
      </c>
      <c r="L50" s="3">
        <v>0</v>
      </c>
      <c r="M50" s="3">
        <v>23</v>
      </c>
      <c r="N50" s="3" t="s">
        <v>68</v>
      </c>
      <c r="O50" s="3" t="s">
        <v>27</v>
      </c>
      <c r="P50" s="3" t="s">
        <v>85</v>
      </c>
      <c r="Q50" s="3">
        <v>1</v>
      </c>
      <c r="R50" s="3">
        <v>29964</v>
      </c>
      <c r="S50" s="3">
        <v>735</v>
      </c>
      <c r="T50" s="3" t="s">
        <v>45</v>
      </c>
      <c r="U50" s="3">
        <v>2</v>
      </c>
      <c r="V50" s="3">
        <v>602</v>
      </c>
      <c r="W50" s="5" t="str">
        <f t="shared" si="0"/>
        <v>700-749</v>
      </c>
      <c r="X50" s="5" t="str">
        <f t="shared" si="1"/>
        <v>Manageable (36-50%)</v>
      </c>
      <c r="Y50" s="5" t="str">
        <f t="shared" si="2"/>
        <v>Retired</v>
      </c>
      <c r="Z50" s="3" t="str">
        <f t="shared" si="3"/>
        <v>Debt &amp; Assets</v>
      </c>
    </row>
    <row r="51" spans="1:26" ht="17.399999999999999" x14ac:dyDescent="0.35">
      <c r="A51" s="3" t="s">
        <v>158</v>
      </c>
      <c r="B51" s="3" t="s">
        <v>159</v>
      </c>
      <c r="C51" s="4">
        <v>45453</v>
      </c>
      <c r="D51" s="3" t="s">
        <v>35</v>
      </c>
      <c r="E51" s="3">
        <v>22600</v>
      </c>
      <c r="F51" s="3">
        <v>24</v>
      </c>
      <c r="G51" s="3">
        <v>10.199999999999999</v>
      </c>
      <c r="H51" s="3">
        <v>1044.96</v>
      </c>
      <c r="I51" s="3">
        <v>26.2</v>
      </c>
      <c r="J51" s="3" t="s">
        <v>25</v>
      </c>
      <c r="K51" s="3">
        <v>0</v>
      </c>
      <c r="L51" s="3">
        <v>0</v>
      </c>
      <c r="M51" s="3">
        <v>24</v>
      </c>
      <c r="N51" s="3" t="s">
        <v>68</v>
      </c>
      <c r="O51" s="3" t="s">
        <v>72</v>
      </c>
      <c r="P51" s="3" t="s">
        <v>37</v>
      </c>
      <c r="Q51" s="3">
        <v>2</v>
      </c>
      <c r="R51" s="3">
        <v>124663</v>
      </c>
      <c r="S51" s="3">
        <v>785</v>
      </c>
      <c r="T51" s="3" t="s">
        <v>45</v>
      </c>
      <c r="U51" s="3">
        <v>3</v>
      </c>
      <c r="V51" s="3">
        <v>1677</v>
      </c>
      <c r="W51" s="5" t="str">
        <f t="shared" si="0"/>
        <v>750+</v>
      </c>
      <c r="X51" s="5" t="str">
        <f t="shared" si="1"/>
        <v>Low (&lt;=35%)</v>
      </c>
      <c r="Y51" s="5" t="str">
        <f t="shared" si="2"/>
        <v>Employed</v>
      </c>
      <c r="Z51" s="3" t="str">
        <f t="shared" si="3"/>
        <v>Consumer &amp; Personal</v>
      </c>
    </row>
    <row r="52" spans="1:26" ht="17.399999999999999" x14ac:dyDescent="0.35">
      <c r="A52" s="3" t="s">
        <v>160</v>
      </c>
      <c r="B52" s="3" t="s">
        <v>161</v>
      </c>
      <c r="C52" s="4">
        <v>45715</v>
      </c>
      <c r="D52" s="3" t="s">
        <v>52</v>
      </c>
      <c r="E52" s="3">
        <v>9000</v>
      </c>
      <c r="F52" s="3">
        <v>12</v>
      </c>
      <c r="G52" s="3">
        <v>12.63</v>
      </c>
      <c r="H52" s="3">
        <v>802.29</v>
      </c>
      <c r="I52" s="3">
        <v>65.400000000000006</v>
      </c>
      <c r="J52" s="3" t="s">
        <v>25</v>
      </c>
      <c r="K52" s="3">
        <v>0</v>
      </c>
      <c r="L52" s="3">
        <v>0</v>
      </c>
      <c r="M52" s="3">
        <v>64</v>
      </c>
      <c r="N52" s="3" t="s">
        <v>78</v>
      </c>
      <c r="O52" s="3" t="s">
        <v>27</v>
      </c>
      <c r="P52" s="3" t="s">
        <v>37</v>
      </c>
      <c r="Q52" s="3">
        <v>22</v>
      </c>
      <c r="R52" s="3">
        <v>52825</v>
      </c>
      <c r="S52" s="3">
        <v>672</v>
      </c>
      <c r="T52" s="3" t="s">
        <v>45</v>
      </c>
      <c r="U52" s="3">
        <v>2</v>
      </c>
      <c r="V52" s="3">
        <v>2077</v>
      </c>
      <c r="W52" s="5" t="str">
        <f t="shared" si="0"/>
        <v>650-699</v>
      </c>
      <c r="X52" s="5" t="str">
        <f t="shared" si="1"/>
        <v>High (51-75%)</v>
      </c>
      <c r="Y52" s="5" t="str">
        <f t="shared" si="2"/>
        <v>Employed</v>
      </c>
      <c r="Z52" s="3" t="str">
        <f t="shared" si="3"/>
        <v>Investment &amp; Growth</v>
      </c>
    </row>
    <row r="53" spans="1:26" ht="17.399999999999999" x14ac:dyDescent="0.35">
      <c r="A53" s="3" t="s">
        <v>162</v>
      </c>
      <c r="B53" s="3" t="s">
        <v>163</v>
      </c>
      <c r="C53" s="4">
        <v>45565</v>
      </c>
      <c r="D53" s="3" t="s">
        <v>41</v>
      </c>
      <c r="E53" s="3">
        <v>11000</v>
      </c>
      <c r="F53" s="3">
        <v>24</v>
      </c>
      <c r="G53" s="3">
        <v>10.24</v>
      </c>
      <c r="H53" s="3">
        <v>508.81</v>
      </c>
      <c r="I53" s="3">
        <v>39.299999999999997</v>
      </c>
      <c r="J53" s="3" t="s">
        <v>48</v>
      </c>
      <c r="K53" s="3">
        <v>0</v>
      </c>
      <c r="L53" s="3">
        <v>0</v>
      </c>
      <c r="M53" s="3">
        <v>43</v>
      </c>
      <c r="N53" s="3" t="s">
        <v>42</v>
      </c>
      <c r="O53" s="3" t="s">
        <v>72</v>
      </c>
      <c r="P53" s="3" t="s">
        <v>37</v>
      </c>
      <c r="Q53" s="3">
        <v>18</v>
      </c>
      <c r="R53" s="3">
        <v>137860</v>
      </c>
      <c r="S53" s="3">
        <v>641</v>
      </c>
      <c r="T53" s="3" t="s">
        <v>29</v>
      </c>
      <c r="U53" s="3">
        <v>0</v>
      </c>
      <c r="V53" s="3">
        <v>4001</v>
      </c>
      <c r="W53" s="5" t="str">
        <f t="shared" si="0"/>
        <v>600-649</v>
      </c>
      <c r="X53" s="5" t="str">
        <f t="shared" si="1"/>
        <v>Manageable (36-50%)</v>
      </c>
      <c r="Y53" s="5" t="str">
        <f t="shared" si="2"/>
        <v>Employed</v>
      </c>
      <c r="Z53" s="3" t="str">
        <f t="shared" si="3"/>
        <v>Debt &amp; Assets</v>
      </c>
    </row>
    <row r="54" spans="1:26" ht="17.399999999999999" x14ac:dyDescent="0.35">
      <c r="A54" s="3" t="s">
        <v>164</v>
      </c>
      <c r="B54" s="3" t="s">
        <v>163</v>
      </c>
      <c r="C54" s="4">
        <v>45772</v>
      </c>
      <c r="D54" s="3" t="s">
        <v>64</v>
      </c>
      <c r="E54" s="3">
        <v>19200</v>
      </c>
      <c r="F54" s="3">
        <v>48</v>
      </c>
      <c r="G54" s="3">
        <v>9.99</v>
      </c>
      <c r="H54" s="3">
        <v>486.87</v>
      </c>
      <c r="I54" s="3">
        <v>39.1</v>
      </c>
      <c r="J54" s="3" t="s">
        <v>25</v>
      </c>
      <c r="K54" s="3">
        <v>0</v>
      </c>
      <c r="L54" s="3">
        <v>0</v>
      </c>
      <c r="M54" s="3">
        <v>43</v>
      </c>
      <c r="N54" s="3" t="s">
        <v>42</v>
      </c>
      <c r="O54" s="3" t="s">
        <v>72</v>
      </c>
      <c r="P54" s="3" t="s">
        <v>37</v>
      </c>
      <c r="Q54" s="3">
        <v>18</v>
      </c>
      <c r="R54" s="3">
        <v>137860</v>
      </c>
      <c r="S54" s="3">
        <v>641</v>
      </c>
      <c r="T54" s="3" t="s">
        <v>29</v>
      </c>
      <c r="U54" s="3">
        <v>0</v>
      </c>
      <c r="V54" s="3">
        <v>4001</v>
      </c>
      <c r="W54" s="5" t="str">
        <f t="shared" si="0"/>
        <v>600-649</v>
      </c>
      <c r="X54" s="5" t="str">
        <f t="shared" si="1"/>
        <v>Manageable (36-50%)</v>
      </c>
      <c r="Y54" s="5" t="str">
        <f t="shared" si="2"/>
        <v>Employed</v>
      </c>
      <c r="Z54" s="3" t="str">
        <f t="shared" si="3"/>
        <v>Investment &amp; Growth</v>
      </c>
    </row>
    <row r="55" spans="1:26" ht="17.399999999999999" x14ac:dyDescent="0.35">
      <c r="A55" s="3" t="s">
        <v>165</v>
      </c>
      <c r="B55" s="3" t="s">
        <v>166</v>
      </c>
      <c r="C55" s="4">
        <v>45307</v>
      </c>
      <c r="D55" s="3" t="s">
        <v>56</v>
      </c>
      <c r="E55" s="3">
        <v>12900</v>
      </c>
      <c r="F55" s="3">
        <v>48</v>
      </c>
      <c r="G55" s="3">
        <v>10.39</v>
      </c>
      <c r="H55" s="3">
        <v>329.6</v>
      </c>
      <c r="I55" s="3">
        <v>10.9</v>
      </c>
      <c r="J55" s="3" t="s">
        <v>99</v>
      </c>
      <c r="K55" s="3">
        <v>30</v>
      </c>
      <c r="L55" s="3">
        <v>0</v>
      </c>
      <c r="M55" s="3">
        <v>44</v>
      </c>
      <c r="N55" s="3" t="s">
        <v>167</v>
      </c>
      <c r="O55" s="3" t="s">
        <v>72</v>
      </c>
      <c r="P55" s="3" t="s">
        <v>37</v>
      </c>
      <c r="Q55" s="3">
        <v>3</v>
      </c>
      <c r="R55" s="3">
        <v>106612</v>
      </c>
      <c r="S55" s="3">
        <v>806</v>
      </c>
      <c r="T55" s="3" t="s">
        <v>45</v>
      </c>
      <c r="U55" s="3">
        <v>0</v>
      </c>
      <c r="V55" s="3">
        <v>641</v>
      </c>
      <c r="W55" s="5" t="str">
        <f t="shared" si="0"/>
        <v>750+</v>
      </c>
      <c r="X55" s="5" t="str">
        <f t="shared" si="1"/>
        <v>Low (&lt;=35%)</v>
      </c>
      <c r="Y55" s="5" t="str">
        <f t="shared" si="2"/>
        <v>Employed</v>
      </c>
      <c r="Z55" s="3" t="str">
        <f t="shared" si="3"/>
        <v>Consumer &amp; Personal</v>
      </c>
    </row>
    <row r="56" spans="1:26" ht="17.399999999999999" x14ac:dyDescent="0.35">
      <c r="A56" s="3" t="s">
        <v>168</v>
      </c>
      <c r="B56" s="3" t="s">
        <v>169</v>
      </c>
      <c r="C56" s="4">
        <v>45793</v>
      </c>
      <c r="D56" s="3" t="s">
        <v>64</v>
      </c>
      <c r="E56" s="3">
        <v>3900</v>
      </c>
      <c r="F56" s="3">
        <v>48</v>
      </c>
      <c r="G56" s="3">
        <v>13.92</v>
      </c>
      <c r="H56" s="3">
        <v>106.42</v>
      </c>
      <c r="I56" s="3">
        <v>41.3</v>
      </c>
      <c r="J56" s="3" t="s">
        <v>99</v>
      </c>
      <c r="K56" s="3">
        <v>15</v>
      </c>
      <c r="L56" s="3">
        <v>0</v>
      </c>
      <c r="M56" s="3">
        <v>49</v>
      </c>
      <c r="N56" s="3" t="s">
        <v>135</v>
      </c>
      <c r="O56" s="3" t="s">
        <v>27</v>
      </c>
      <c r="P56" s="3" t="s">
        <v>85</v>
      </c>
      <c r="Q56" s="3">
        <v>11</v>
      </c>
      <c r="R56" s="3">
        <v>24811</v>
      </c>
      <c r="S56" s="3">
        <v>625</v>
      </c>
      <c r="T56" s="3" t="s">
        <v>45</v>
      </c>
      <c r="U56" s="3">
        <v>3</v>
      </c>
      <c r="V56" s="3">
        <v>747</v>
      </c>
      <c r="W56" s="5" t="str">
        <f t="shared" si="0"/>
        <v>600-649</v>
      </c>
      <c r="X56" s="5" t="str">
        <f t="shared" si="1"/>
        <v>Manageable (36-50%)</v>
      </c>
      <c r="Y56" s="5" t="str">
        <f t="shared" si="2"/>
        <v>Retired</v>
      </c>
      <c r="Z56" s="3" t="str">
        <f t="shared" si="3"/>
        <v>Investment &amp; Growth</v>
      </c>
    </row>
    <row r="57" spans="1:26" ht="17.399999999999999" x14ac:dyDescent="0.35">
      <c r="A57" s="3" t="s">
        <v>170</v>
      </c>
      <c r="B57" s="3" t="s">
        <v>171</v>
      </c>
      <c r="C57" s="4">
        <v>45829</v>
      </c>
      <c r="D57" s="3" t="s">
        <v>67</v>
      </c>
      <c r="E57" s="3">
        <v>41600</v>
      </c>
      <c r="F57" s="3">
        <v>36</v>
      </c>
      <c r="G57" s="3">
        <v>10.34</v>
      </c>
      <c r="H57" s="3">
        <v>1348.97</v>
      </c>
      <c r="I57" s="3">
        <v>31.5</v>
      </c>
      <c r="J57" s="3" t="s">
        <v>48</v>
      </c>
      <c r="K57" s="3">
        <v>0</v>
      </c>
      <c r="L57" s="3">
        <v>0</v>
      </c>
      <c r="M57" s="3">
        <v>64</v>
      </c>
      <c r="N57" s="3" t="s">
        <v>172</v>
      </c>
      <c r="O57" s="3" t="s">
        <v>72</v>
      </c>
      <c r="P57" s="3" t="s">
        <v>28</v>
      </c>
      <c r="Q57" s="3">
        <v>26</v>
      </c>
      <c r="R57" s="3">
        <v>80367</v>
      </c>
      <c r="S57" s="3">
        <v>698</v>
      </c>
      <c r="T57" s="3" t="s">
        <v>45</v>
      </c>
      <c r="U57" s="3">
        <v>0</v>
      </c>
      <c r="V57" s="3">
        <v>761</v>
      </c>
      <c r="W57" s="5" t="str">
        <f t="shared" si="0"/>
        <v>650-699</v>
      </c>
      <c r="X57" s="5" t="str">
        <f t="shared" si="1"/>
        <v>Low (&lt;=35%)</v>
      </c>
      <c r="Y57" s="5" t="str">
        <f t="shared" si="2"/>
        <v>Self-Employed</v>
      </c>
      <c r="Z57" s="3" t="str">
        <f t="shared" si="3"/>
        <v>Debt &amp; Assets</v>
      </c>
    </row>
    <row r="58" spans="1:26" ht="17.399999999999999" x14ac:dyDescent="0.35">
      <c r="A58" s="3" t="s">
        <v>173</v>
      </c>
      <c r="B58" s="3" t="s">
        <v>174</v>
      </c>
      <c r="C58" s="4">
        <v>45697</v>
      </c>
      <c r="D58" s="3" t="s">
        <v>24</v>
      </c>
      <c r="E58" s="3">
        <v>4000</v>
      </c>
      <c r="F58" s="3">
        <v>24</v>
      </c>
      <c r="G58" s="3">
        <v>12.11</v>
      </c>
      <c r="H58" s="3">
        <v>188.5</v>
      </c>
      <c r="I58" s="3">
        <v>7.6</v>
      </c>
      <c r="J58" s="3" t="s">
        <v>48</v>
      </c>
      <c r="K58" s="3">
        <v>0</v>
      </c>
      <c r="L58" s="3">
        <v>0</v>
      </c>
      <c r="M58" s="3">
        <v>48</v>
      </c>
      <c r="N58" s="3" t="s">
        <v>78</v>
      </c>
      <c r="O58" s="3" t="s">
        <v>43</v>
      </c>
      <c r="P58" s="3" t="s">
        <v>37</v>
      </c>
      <c r="Q58" s="3">
        <v>19</v>
      </c>
      <c r="R58" s="3">
        <v>88330</v>
      </c>
      <c r="S58" s="3">
        <v>629</v>
      </c>
      <c r="T58" s="3" t="s">
        <v>45</v>
      </c>
      <c r="U58" s="3">
        <v>1</v>
      </c>
      <c r="V58" s="3">
        <v>369</v>
      </c>
      <c r="W58" s="5" t="str">
        <f t="shared" si="0"/>
        <v>600-649</v>
      </c>
      <c r="X58" s="5" t="str">
        <f t="shared" si="1"/>
        <v>Low (&lt;=35%)</v>
      </c>
      <c r="Y58" s="5" t="str">
        <f t="shared" si="2"/>
        <v>Employed</v>
      </c>
      <c r="Z58" s="3" t="str">
        <f t="shared" si="3"/>
        <v>Consumer &amp; Personal</v>
      </c>
    </row>
    <row r="59" spans="1:26" ht="17.399999999999999" x14ac:dyDescent="0.35">
      <c r="A59" s="3" t="s">
        <v>175</v>
      </c>
      <c r="B59" s="3" t="s">
        <v>176</v>
      </c>
      <c r="C59" s="4">
        <v>45584</v>
      </c>
      <c r="D59" s="3" t="s">
        <v>67</v>
      </c>
      <c r="E59" s="3">
        <v>14400</v>
      </c>
      <c r="F59" s="3">
        <v>36</v>
      </c>
      <c r="G59" s="3">
        <v>12.3</v>
      </c>
      <c r="H59" s="3">
        <v>480.35</v>
      </c>
      <c r="I59" s="3">
        <v>38.700000000000003</v>
      </c>
      <c r="J59" s="3" t="s">
        <v>99</v>
      </c>
      <c r="K59" s="3">
        <v>0</v>
      </c>
      <c r="L59" s="3">
        <v>0</v>
      </c>
      <c r="M59" s="3">
        <v>40</v>
      </c>
      <c r="N59" s="3" t="s">
        <v>135</v>
      </c>
      <c r="O59" s="3" t="s">
        <v>79</v>
      </c>
      <c r="P59" s="3" t="s">
        <v>28</v>
      </c>
      <c r="Q59" s="3">
        <v>14</v>
      </c>
      <c r="R59" s="3">
        <v>57427</v>
      </c>
      <c r="S59" s="3">
        <v>694</v>
      </c>
      <c r="T59" s="3" t="s">
        <v>45</v>
      </c>
      <c r="U59" s="3">
        <v>0</v>
      </c>
      <c r="V59" s="3">
        <v>1371</v>
      </c>
      <c r="W59" s="5" t="str">
        <f t="shared" si="0"/>
        <v>650-699</v>
      </c>
      <c r="X59" s="5" t="str">
        <f t="shared" si="1"/>
        <v>Manageable (36-50%)</v>
      </c>
      <c r="Y59" s="5" t="str">
        <f t="shared" si="2"/>
        <v>Self-Employed</v>
      </c>
      <c r="Z59" s="3" t="str">
        <f t="shared" si="3"/>
        <v>Debt &amp; Assets</v>
      </c>
    </row>
    <row r="60" spans="1:26" ht="17.399999999999999" x14ac:dyDescent="0.35">
      <c r="A60" s="3" t="s">
        <v>177</v>
      </c>
      <c r="B60" s="3" t="s">
        <v>178</v>
      </c>
      <c r="C60" s="4">
        <v>45804</v>
      </c>
      <c r="D60" s="3" t="s">
        <v>35</v>
      </c>
      <c r="E60" s="3">
        <v>24300</v>
      </c>
      <c r="F60" s="3">
        <v>48</v>
      </c>
      <c r="G60" s="3">
        <v>6.29</v>
      </c>
      <c r="H60" s="3">
        <v>573.91999999999996</v>
      </c>
      <c r="I60" s="3">
        <v>28.8</v>
      </c>
      <c r="J60" s="3" t="s">
        <v>25</v>
      </c>
      <c r="K60" s="3">
        <v>0</v>
      </c>
      <c r="L60" s="3">
        <v>0</v>
      </c>
      <c r="M60" s="3">
        <v>32</v>
      </c>
      <c r="N60" s="3" t="s">
        <v>179</v>
      </c>
      <c r="O60" s="3" t="s">
        <v>43</v>
      </c>
      <c r="P60" s="3" t="s">
        <v>37</v>
      </c>
      <c r="Q60" s="3">
        <v>5</v>
      </c>
      <c r="R60" s="3">
        <v>82953</v>
      </c>
      <c r="S60" s="3">
        <v>850</v>
      </c>
      <c r="T60" s="3" t="s">
        <v>38</v>
      </c>
      <c r="U60" s="3">
        <v>0</v>
      </c>
      <c r="V60" s="3">
        <v>1418</v>
      </c>
      <c r="W60" s="5" t="str">
        <f t="shared" si="0"/>
        <v>750+</v>
      </c>
      <c r="X60" s="5" t="str">
        <f t="shared" si="1"/>
        <v>Low (&lt;=35%)</v>
      </c>
      <c r="Y60" s="5" t="str">
        <f t="shared" si="2"/>
        <v>Employed</v>
      </c>
      <c r="Z60" s="3" t="str">
        <f t="shared" si="3"/>
        <v>Consumer &amp; Personal</v>
      </c>
    </row>
    <row r="61" spans="1:26" ht="17.399999999999999" x14ac:dyDescent="0.35">
      <c r="A61" s="3" t="s">
        <v>180</v>
      </c>
      <c r="B61" s="3" t="s">
        <v>181</v>
      </c>
      <c r="C61" s="4">
        <v>45498</v>
      </c>
      <c r="D61" s="3" t="s">
        <v>56</v>
      </c>
      <c r="E61" s="3">
        <v>15600</v>
      </c>
      <c r="F61" s="3">
        <v>12</v>
      </c>
      <c r="G61" s="3">
        <v>6.86</v>
      </c>
      <c r="H61" s="3">
        <v>1348.81</v>
      </c>
      <c r="I61" s="3">
        <v>64.900000000000006</v>
      </c>
      <c r="J61" s="3" t="s">
        <v>48</v>
      </c>
      <c r="K61" s="3">
        <v>0</v>
      </c>
      <c r="L61" s="3">
        <v>0</v>
      </c>
      <c r="M61" s="3">
        <v>34</v>
      </c>
      <c r="N61" s="3" t="s">
        <v>105</v>
      </c>
      <c r="O61" s="3" t="s">
        <v>27</v>
      </c>
      <c r="P61" s="3" t="s">
        <v>37</v>
      </c>
      <c r="Q61" s="3">
        <v>13</v>
      </c>
      <c r="R61" s="3">
        <v>57034</v>
      </c>
      <c r="S61" s="3">
        <v>842</v>
      </c>
      <c r="T61" s="3" t="s">
        <v>29</v>
      </c>
      <c r="U61" s="3">
        <v>1</v>
      </c>
      <c r="V61" s="3">
        <v>1734</v>
      </c>
      <c r="W61" s="5" t="str">
        <f t="shared" si="0"/>
        <v>750+</v>
      </c>
      <c r="X61" s="5" t="str">
        <f t="shared" si="1"/>
        <v>High (51-75%)</v>
      </c>
      <c r="Y61" s="5" t="str">
        <f t="shared" si="2"/>
        <v>Employed</v>
      </c>
      <c r="Z61" s="3" t="str">
        <f t="shared" si="3"/>
        <v>Consumer &amp; Personal</v>
      </c>
    </row>
    <row r="62" spans="1:26" ht="17.399999999999999" x14ac:dyDescent="0.35">
      <c r="A62" s="3" t="s">
        <v>182</v>
      </c>
      <c r="B62" s="3" t="s">
        <v>183</v>
      </c>
      <c r="C62" s="4">
        <v>45663</v>
      </c>
      <c r="D62" s="3" t="s">
        <v>56</v>
      </c>
      <c r="E62" s="3">
        <v>7900</v>
      </c>
      <c r="F62" s="3">
        <v>12</v>
      </c>
      <c r="G62" s="3">
        <v>13.28</v>
      </c>
      <c r="H62" s="3">
        <v>706.64</v>
      </c>
      <c r="I62" s="3">
        <v>53</v>
      </c>
      <c r="J62" s="3" t="s">
        <v>32</v>
      </c>
      <c r="K62" s="3">
        <v>128</v>
      </c>
      <c r="L62" s="3">
        <v>1</v>
      </c>
      <c r="M62" s="3">
        <v>34</v>
      </c>
      <c r="N62" s="3" t="s">
        <v>26</v>
      </c>
      <c r="O62" s="3" t="s">
        <v>72</v>
      </c>
      <c r="P62" s="3" t="s">
        <v>37</v>
      </c>
      <c r="Q62" s="3">
        <v>10</v>
      </c>
      <c r="R62" s="3">
        <v>88890</v>
      </c>
      <c r="S62" s="3">
        <v>615</v>
      </c>
      <c r="T62" s="3" t="s">
        <v>29</v>
      </c>
      <c r="U62" s="3">
        <v>2</v>
      </c>
      <c r="V62" s="3">
        <v>3222</v>
      </c>
      <c r="W62" s="5" t="str">
        <f t="shared" si="0"/>
        <v>600-649</v>
      </c>
      <c r="X62" s="5" t="str">
        <f t="shared" si="1"/>
        <v>High (51-75%)</v>
      </c>
      <c r="Y62" s="5" t="str">
        <f t="shared" si="2"/>
        <v>Employed</v>
      </c>
      <c r="Z62" s="3" t="str">
        <f t="shared" si="3"/>
        <v>Consumer &amp; Personal</v>
      </c>
    </row>
    <row r="63" spans="1:26" ht="17.399999999999999" x14ac:dyDescent="0.35">
      <c r="A63" s="3" t="s">
        <v>184</v>
      </c>
      <c r="B63" s="3" t="s">
        <v>185</v>
      </c>
      <c r="C63" s="4">
        <v>45466</v>
      </c>
      <c r="D63" s="3" t="s">
        <v>35</v>
      </c>
      <c r="E63" s="3">
        <v>9700</v>
      </c>
      <c r="F63" s="3">
        <v>60</v>
      </c>
      <c r="G63" s="3">
        <v>8.32</v>
      </c>
      <c r="H63" s="3">
        <v>198.17</v>
      </c>
      <c r="I63" s="3">
        <v>13</v>
      </c>
      <c r="J63" s="3" t="s">
        <v>99</v>
      </c>
      <c r="K63" s="3">
        <v>0</v>
      </c>
      <c r="L63" s="3">
        <v>0</v>
      </c>
      <c r="M63" s="3">
        <v>28</v>
      </c>
      <c r="N63" s="3" t="s">
        <v>62</v>
      </c>
      <c r="O63" s="3" t="s">
        <v>72</v>
      </c>
      <c r="P63" s="3" t="s">
        <v>37</v>
      </c>
      <c r="Q63" s="3">
        <v>7</v>
      </c>
      <c r="R63" s="3">
        <v>123592</v>
      </c>
      <c r="S63" s="3">
        <v>815</v>
      </c>
      <c r="T63" s="3" t="s">
        <v>38</v>
      </c>
      <c r="U63" s="3">
        <v>3</v>
      </c>
      <c r="V63" s="3">
        <v>1139</v>
      </c>
      <c r="W63" s="5" t="str">
        <f t="shared" si="0"/>
        <v>750+</v>
      </c>
      <c r="X63" s="5" t="str">
        <f t="shared" si="1"/>
        <v>Low (&lt;=35%)</v>
      </c>
      <c r="Y63" s="5" t="str">
        <f t="shared" si="2"/>
        <v>Employed</v>
      </c>
      <c r="Z63" s="3" t="str">
        <f t="shared" si="3"/>
        <v>Consumer &amp; Personal</v>
      </c>
    </row>
    <row r="64" spans="1:26" ht="17.399999999999999" x14ac:dyDescent="0.35">
      <c r="A64" s="3" t="s">
        <v>186</v>
      </c>
      <c r="B64" s="3" t="s">
        <v>187</v>
      </c>
      <c r="C64" s="4">
        <v>45748</v>
      </c>
      <c r="D64" s="3" t="s">
        <v>56</v>
      </c>
      <c r="E64" s="3">
        <v>36200</v>
      </c>
      <c r="F64" s="3">
        <v>48</v>
      </c>
      <c r="G64" s="3">
        <v>7.37</v>
      </c>
      <c r="H64" s="3">
        <v>873.08</v>
      </c>
      <c r="I64" s="3">
        <v>53.3</v>
      </c>
      <c r="J64" s="3" t="s">
        <v>25</v>
      </c>
      <c r="K64" s="3">
        <v>0</v>
      </c>
      <c r="L64" s="3">
        <v>0</v>
      </c>
      <c r="M64" s="3">
        <v>30</v>
      </c>
      <c r="N64" s="3" t="s">
        <v>26</v>
      </c>
      <c r="O64" s="3" t="s">
        <v>72</v>
      </c>
      <c r="P64" s="3" t="s">
        <v>28</v>
      </c>
      <c r="Q64" s="3">
        <v>5</v>
      </c>
      <c r="R64" s="3">
        <v>139361</v>
      </c>
      <c r="S64" s="3">
        <v>850</v>
      </c>
      <c r="T64" s="3" t="s">
        <v>29</v>
      </c>
      <c r="U64" s="3">
        <v>1</v>
      </c>
      <c r="V64" s="3">
        <v>5313</v>
      </c>
      <c r="W64" s="5" t="str">
        <f t="shared" si="0"/>
        <v>750+</v>
      </c>
      <c r="X64" s="5" t="str">
        <f t="shared" si="1"/>
        <v>High (51-75%)</v>
      </c>
      <c r="Y64" s="5" t="str">
        <f t="shared" si="2"/>
        <v>Self-Employed</v>
      </c>
      <c r="Z64" s="3" t="str">
        <f t="shared" si="3"/>
        <v>Consumer &amp; Personal</v>
      </c>
    </row>
    <row r="65" spans="1:26" ht="17.399999999999999" x14ac:dyDescent="0.35">
      <c r="A65" s="3" t="s">
        <v>188</v>
      </c>
      <c r="B65" s="3" t="s">
        <v>189</v>
      </c>
      <c r="C65" s="4">
        <v>45802</v>
      </c>
      <c r="D65" s="3" t="s">
        <v>67</v>
      </c>
      <c r="E65" s="3">
        <v>14100</v>
      </c>
      <c r="F65" s="3">
        <v>48</v>
      </c>
      <c r="G65" s="3">
        <v>12.22</v>
      </c>
      <c r="H65" s="3">
        <v>372.83</v>
      </c>
      <c r="I65" s="3">
        <v>43.4</v>
      </c>
      <c r="J65" s="3" t="s">
        <v>25</v>
      </c>
      <c r="K65" s="3">
        <v>0</v>
      </c>
      <c r="L65" s="3">
        <v>0</v>
      </c>
      <c r="M65" s="3">
        <v>54</v>
      </c>
      <c r="N65" s="3" t="s">
        <v>179</v>
      </c>
      <c r="O65" s="3" t="s">
        <v>43</v>
      </c>
      <c r="P65" s="3" t="s">
        <v>44</v>
      </c>
      <c r="Q65" s="3">
        <v>30</v>
      </c>
      <c r="R65" s="3">
        <v>69049</v>
      </c>
      <c r="S65" s="3">
        <v>616</v>
      </c>
      <c r="T65" s="3" t="s">
        <v>45</v>
      </c>
      <c r="U65" s="3">
        <v>0</v>
      </c>
      <c r="V65" s="3">
        <v>2122</v>
      </c>
      <c r="W65" s="5" t="str">
        <f t="shared" si="0"/>
        <v>600-649</v>
      </c>
      <c r="X65" s="5" t="str">
        <f t="shared" si="1"/>
        <v>Manageable (36-50%)</v>
      </c>
      <c r="Y65" s="5" t="str">
        <f t="shared" si="2"/>
        <v>Employed</v>
      </c>
      <c r="Z65" s="3" t="str">
        <f t="shared" si="3"/>
        <v>Debt &amp; Assets</v>
      </c>
    </row>
    <row r="66" spans="1:26" ht="17.399999999999999" x14ac:dyDescent="0.35">
      <c r="A66" s="3" t="s">
        <v>190</v>
      </c>
      <c r="B66" s="3" t="s">
        <v>189</v>
      </c>
      <c r="C66" s="4">
        <v>45373</v>
      </c>
      <c r="D66" s="3" t="s">
        <v>64</v>
      </c>
      <c r="E66" s="3">
        <v>26200</v>
      </c>
      <c r="F66" s="3">
        <v>48</v>
      </c>
      <c r="G66" s="3">
        <v>11.78</v>
      </c>
      <c r="H66" s="3">
        <v>687.12</v>
      </c>
      <c r="I66" s="3">
        <v>48.8</v>
      </c>
      <c r="J66" s="3" t="s">
        <v>25</v>
      </c>
      <c r="K66" s="3">
        <v>0</v>
      </c>
      <c r="L66" s="3">
        <v>0</v>
      </c>
      <c r="M66" s="3">
        <v>54</v>
      </c>
      <c r="N66" s="3" t="s">
        <v>179</v>
      </c>
      <c r="O66" s="3" t="s">
        <v>43</v>
      </c>
      <c r="P66" s="3" t="s">
        <v>44</v>
      </c>
      <c r="Q66" s="3">
        <v>30</v>
      </c>
      <c r="R66" s="3">
        <v>69049</v>
      </c>
      <c r="S66" s="3">
        <v>616</v>
      </c>
      <c r="T66" s="3" t="s">
        <v>45</v>
      </c>
      <c r="U66" s="3">
        <v>0</v>
      </c>
      <c r="V66" s="3">
        <v>2122</v>
      </c>
      <c r="W66" s="5" t="str">
        <f t="shared" ref="W66:W129" si="4">IF(S66&lt;=599, "520-599", IF(S66&lt;=649, "600-649", IF(S66&lt;=699, "650-699", IF(S66&lt;=749, "700-749", "750+"))))</f>
        <v>600-649</v>
      </c>
      <c r="X66" s="5" t="str">
        <f t="shared" ref="X66:X129" si="5">IF(I66&lt;=35, "Low (&lt;=35%)", IF(I66&lt;=50, "Manageable (36-50%)", IF(I66&lt;=75, "High (51-75%)", "Critical (&gt;75%)")))</f>
        <v>Manageable (36-50%)</v>
      </c>
      <c r="Y66" s="5" t="str">
        <f t="shared" ref="Y66:Y129" si="6">IF(OR(P66="Full-Time", P66="Part-Time", P66="Contract"), "Employed", IF(P66="Self-Employed", "Self-Employed", IF(P66="Retired", "Retired", "Other")))</f>
        <v>Employed</v>
      </c>
      <c r="Z66" s="3" t="str">
        <f t="shared" ref="Z66:Z129" si="7">IF(OR(D66="Vacation", D66="Medical Expenses", D66="Wedding", D66="Moving"), "Consumer &amp; Personal", IF(OR(D66="Debt Consolidation", D66="Major Purchase", D66="Auto Loan"), "Debt &amp; Assets", IF(OR(D66="Home Improvement", D66="Business Loan", D66="Education"), "Investment &amp; Growth", "Other")))</f>
        <v>Investment &amp; Growth</v>
      </c>
    </row>
    <row r="67" spans="1:26" ht="17.399999999999999" x14ac:dyDescent="0.35">
      <c r="A67" s="3" t="s">
        <v>191</v>
      </c>
      <c r="B67" s="3" t="s">
        <v>192</v>
      </c>
      <c r="C67" s="4">
        <v>45649</v>
      </c>
      <c r="D67" s="3" t="s">
        <v>35</v>
      </c>
      <c r="E67" s="3">
        <v>12000</v>
      </c>
      <c r="F67" s="3">
        <v>24</v>
      </c>
      <c r="G67" s="3">
        <v>9.39</v>
      </c>
      <c r="H67" s="3">
        <v>550.37</v>
      </c>
      <c r="I67" s="3">
        <v>18.600000000000001</v>
      </c>
      <c r="J67" s="3" t="s">
        <v>32</v>
      </c>
      <c r="K67" s="3">
        <v>38</v>
      </c>
      <c r="L67" s="3">
        <v>1</v>
      </c>
      <c r="M67" s="3">
        <v>55</v>
      </c>
      <c r="N67" s="3" t="s">
        <v>128</v>
      </c>
      <c r="O67" s="3" t="s">
        <v>43</v>
      </c>
      <c r="P67" s="3" t="s">
        <v>37</v>
      </c>
      <c r="Q67" s="3">
        <v>15</v>
      </c>
      <c r="R67" s="3">
        <v>68663</v>
      </c>
      <c r="S67" s="3">
        <v>681</v>
      </c>
      <c r="T67" s="3" t="s">
        <v>45</v>
      </c>
      <c r="U67" s="3">
        <v>3</v>
      </c>
      <c r="V67" s="3">
        <v>516</v>
      </c>
      <c r="W67" s="5" t="str">
        <f t="shared" si="4"/>
        <v>650-699</v>
      </c>
      <c r="X67" s="5" t="str">
        <f t="shared" si="5"/>
        <v>Low (&lt;=35%)</v>
      </c>
      <c r="Y67" s="5" t="str">
        <f t="shared" si="6"/>
        <v>Employed</v>
      </c>
      <c r="Z67" s="3" t="str">
        <f t="shared" si="7"/>
        <v>Consumer &amp; Personal</v>
      </c>
    </row>
    <row r="68" spans="1:26" ht="17.399999999999999" x14ac:dyDescent="0.35">
      <c r="A68" s="3" t="s">
        <v>193</v>
      </c>
      <c r="B68" s="3" t="s">
        <v>194</v>
      </c>
      <c r="C68" s="4">
        <v>45474</v>
      </c>
      <c r="D68" s="3" t="s">
        <v>77</v>
      </c>
      <c r="E68" s="3">
        <v>37700</v>
      </c>
      <c r="F68" s="3">
        <v>12</v>
      </c>
      <c r="G68" s="3">
        <v>11.09</v>
      </c>
      <c r="H68" s="3">
        <v>3333.57</v>
      </c>
      <c r="I68" s="3">
        <v>72.599999999999994</v>
      </c>
      <c r="J68" s="3" t="s">
        <v>32</v>
      </c>
      <c r="K68" s="3">
        <v>102</v>
      </c>
      <c r="L68" s="3">
        <v>1</v>
      </c>
      <c r="M68" s="3">
        <v>31</v>
      </c>
      <c r="N68" s="3" t="s">
        <v>119</v>
      </c>
      <c r="O68" s="3" t="s">
        <v>79</v>
      </c>
      <c r="P68" s="3" t="s">
        <v>28</v>
      </c>
      <c r="Q68" s="3">
        <v>6</v>
      </c>
      <c r="R68" s="3">
        <v>62036</v>
      </c>
      <c r="S68" s="3">
        <v>567</v>
      </c>
      <c r="T68" s="3" t="s">
        <v>45</v>
      </c>
      <c r="U68" s="3">
        <v>1</v>
      </c>
      <c r="V68" s="3">
        <v>419</v>
      </c>
      <c r="W68" s="5" t="str">
        <f t="shared" si="4"/>
        <v>520-599</v>
      </c>
      <c r="X68" s="5" t="str">
        <f t="shared" si="5"/>
        <v>High (51-75%)</v>
      </c>
      <c r="Y68" s="5" t="str">
        <f t="shared" si="6"/>
        <v>Self-Employed</v>
      </c>
      <c r="Z68" s="3" t="str">
        <f t="shared" si="7"/>
        <v>Consumer &amp; Personal</v>
      </c>
    </row>
    <row r="69" spans="1:26" ht="17.399999999999999" x14ac:dyDescent="0.35">
      <c r="A69" s="3" t="s">
        <v>195</v>
      </c>
      <c r="B69" s="3" t="s">
        <v>196</v>
      </c>
      <c r="C69" s="4">
        <v>45660</v>
      </c>
      <c r="D69" s="3" t="s">
        <v>77</v>
      </c>
      <c r="E69" s="3">
        <v>29000</v>
      </c>
      <c r="F69" s="3">
        <v>48</v>
      </c>
      <c r="G69" s="3">
        <v>14.5</v>
      </c>
      <c r="H69" s="3">
        <v>799.76</v>
      </c>
      <c r="I69" s="3">
        <v>14.8</v>
      </c>
      <c r="J69" s="3" t="s">
        <v>48</v>
      </c>
      <c r="K69" s="3">
        <v>0</v>
      </c>
      <c r="L69" s="3">
        <v>0</v>
      </c>
      <c r="M69" s="3">
        <v>48</v>
      </c>
      <c r="N69" s="3" t="s">
        <v>167</v>
      </c>
      <c r="O69" s="3" t="s">
        <v>43</v>
      </c>
      <c r="P69" s="3" t="s">
        <v>28</v>
      </c>
      <c r="Q69" s="3">
        <v>27</v>
      </c>
      <c r="R69" s="3">
        <v>100958</v>
      </c>
      <c r="S69" s="3">
        <v>555</v>
      </c>
      <c r="T69" s="3" t="s">
        <v>29</v>
      </c>
      <c r="U69" s="3">
        <v>1</v>
      </c>
      <c r="V69" s="3">
        <v>445</v>
      </c>
      <c r="W69" s="5" t="str">
        <f t="shared" si="4"/>
        <v>520-599</v>
      </c>
      <c r="X69" s="5" t="str">
        <f t="shared" si="5"/>
        <v>Low (&lt;=35%)</v>
      </c>
      <c r="Y69" s="5" t="str">
        <f t="shared" si="6"/>
        <v>Self-Employed</v>
      </c>
      <c r="Z69" s="3" t="str">
        <f t="shared" si="7"/>
        <v>Consumer &amp; Personal</v>
      </c>
    </row>
    <row r="70" spans="1:26" ht="17.399999999999999" x14ac:dyDescent="0.35">
      <c r="A70" s="3" t="s">
        <v>197</v>
      </c>
      <c r="B70" s="3" t="s">
        <v>198</v>
      </c>
      <c r="C70" s="4">
        <v>45774</v>
      </c>
      <c r="D70" s="3" t="s">
        <v>31</v>
      </c>
      <c r="E70" s="3">
        <v>38400</v>
      </c>
      <c r="F70" s="3">
        <v>60</v>
      </c>
      <c r="G70" s="3">
        <v>7.84</v>
      </c>
      <c r="H70" s="3">
        <v>775.68</v>
      </c>
      <c r="I70" s="3">
        <v>63.1</v>
      </c>
      <c r="J70" s="3" t="s">
        <v>32</v>
      </c>
      <c r="K70" s="3">
        <v>100</v>
      </c>
      <c r="L70" s="3">
        <v>1</v>
      </c>
      <c r="M70" s="3">
        <v>44</v>
      </c>
      <c r="N70" s="3" t="s">
        <v>119</v>
      </c>
      <c r="O70" s="3" t="s">
        <v>79</v>
      </c>
      <c r="P70" s="3" t="s">
        <v>37</v>
      </c>
      <c r="Q70" s="3">
        <v>17</v>
      </c>
      <c r="R70" s="3">
        <v>70593</v>
      </c>
      <c r="S70" s="3">
        <v>749</v>
      </c>
      <c r="T70" s="3" t="s">
        <v>29</v>
      </c>
      <c r="U70" s="3">
        <v>2</v>
      </c>
      <c r="V70" s="3">
        <v>2934</v>
      </c>
      <c r="W70" s="5" t="str">
        <f t="shared" si="4"/>
        <v>700-749</v>
      </c>
      <c r="X70" s="5" t="str">
        <f t="shared" si="5"/>
        <v>High (51-75%)</v>
      </c>
      <c r="Y70" s="5" t="str">
        <f t="shared" si="6"/>
        <v>Employed</v>
      </c>
      <c r="Z70" s="3" t="str">
        <f t="shared" si="7"/>
        <v>Debt &amp; Assets</v>
      </c>
    </row>
    <row r="71" spans="1:26" ht="17.399999999999999" x14ac:dyDescent="0.35">
      <c r="A71" s="3" t="s">
        <v>199</v>
      </c>
      <c r="B71" s="3" t="s">
        <v>200</v>
      </c>
      <c r="C71" s="4">
        <v>45833</v>
      </c>
      <c r="D71" s="3" t="s">
        <v>31</v>
      </c>
      <c r="E71" s="3">
        <v>20500</v>
      </c>
      <c r="F71" s="3">
        <v>60</v>
      </c>
      <c r="G71" s="3">
        <v>8.67</v>
      </c>
      <c r="H71" s="3">
        <v>422.27</v>
      </c>
      <c r="I71" s="3">
        <v>27.8</v>
      </c>
      <c r="J71" s="3" t="s">
        <v>99</v>
      </c>
      <c r="K71" s="3">
        <v>0</v>
      </c>
      <c r="L71" s="3">
        <v>0</v>
      </c>
      <c r="M71" s="3">
        <v>53</v>
      </c>
      <c r="N71" s="3" t="s">
        <v>57</v>
      </c>
      <c r="O71" s="3" t="s">
        <v>79</v>
      </c>
      <c r="P71" s="3" t="s">
        <v>37</v>
      </c>
      <c r="Q71" s="3">
        <v>25</v>
      </c>
      <c r="R71" s="3">
        <v>30740</v>
      </c>
      <c r="S71" s="3">
        <v>697</v>
      </c>
      <c r="T71" s="3" t="s">
        <v>29</v>
      </c>
      <c r="U71" s="3">
        <v>1</v>
      </c>
      <c r="V71" s="3">
        <v>291</v>
      </c>
      <c r="W71" s="5" t="str">
        <f t="shared" si="4"/>
        <v>650-699</v>
      </c>
      <c r="X71" s="5" t="str">
        <f t="shared" si="5"/>
        <v>Low (&lt;=35%)</v>
      </c>
      <c r="Y71" s="5" t="str">
        <f t="shared" si="6"/>
        <v>Employed</v>
      </c>
      <c r="Z71" s="3" t="str">
        <f t="shared" si="7"/>
        <v>Debt &amp; Assets</v>
      </c>
    </row>
    <row r="72" spans="1:26" ht="17.399999999999999" x14ac:dyDescent="0.35">
      <c r="A72" s="3" t="s">
        <v>201</v>
      </c>
      <c r="B72" s="3" t="s">
        <v>202</v>
      </c>
      <c r="C72" s="4">
        <v>45654</v>
      </c>
      <c r="D72" s="3" t="s">
        <v>41</v>
      </c>
      <c r="E72" s="3">
        <v>42700</v>
      </c>
      <c r="F72" s="3">
        <v>36</v>
      </c>
      <c r="G72" s="3">
        <v>13.49</v>
      </c>
      <c r="H72" s="3">
        <v>1448.83</v>
      </c>
      <c r="I72" s="3">
        <v>36.299999999999997</v>
      </c>
      <c r="J72" s="3" t="s">
        <v>48</v>
      </c>
      <c r="K72" s="3">
        <v>0</v>
      </c>
      <c r="L72" s="3">
        <v>0</v>
      </c>
      <c r="M72" s="3">
        <v>61</v>
      </c>
      <c r="N72" s="3" t="s">
        <v>203</v>
      </c>
      <c r="O72" s="3" t="s">
        <v>43</v>
      </c>
      <c r="P72" s="3" t="s">
        <v>44</v>
      </c>
      <c r="Q72" s="3">
        <v>5</v>
      </c>
      <c r="R72" s="3">
        <v>78362</v>
      </c>
      <c r="S72" s="3">
        <v>548</v>
      </c>
      <c r="T72" s="3" t="s">
        <v>45</v>
      </c>
      <c r="U72" s="3">
        <v>3</v>
      </c>
      <c r="V72" s="3">
        <v>919</v>
      </c>
      <c r="W72" s="5" t="str">
        <f t="shared" si="4"/>
        <v>520-599</v>
      </c>
      <c r="X72" s="5" t="str">
        <f t="shared" si="5"/>
        <v>Manageable (36-50%)</v>
      </c>
      <c r="Y72" s="5" t="str">
        <f t="shared" si="6"/>
        <v>Employed</v>
      </c>
      <c r="Z72" s="3" t="str">
        <f t="shared" si="7"/>
        <v>Debt &amp; Assets</v>
      </c>
    </row>
    <row r="73" spans="1:26" ht="17.399999999999999" x14ac:dyDescent="0.35">
      <c r="A73" s="3" t="s">
        <v>204</v>
      </c>
      <c r="B73" s="3" t="s">
        <v>202</v>
      </c>
      <c r="C73" s="4">
        <v>45589</v>
      </c>
      <c r="D73" s="3" t="s">
        <v>24</v>
      </c>
      <c r="E73" s="3">
        <v>10600</v>
      </c>
      <c r="F73" s="3">
        <v>60</v>
      </c>
      <c r="G73" s="3">
        <v>12.03</v>
      </c>
      <c r="H73" s="3">
        <v>235.95</v>
      </c>
      <c r="I73" s="3">
        <v>17.7</v>
      </c>
      <c r="J73" s="3" t="s">
        <v>48</v>
      </c>
      <c r="K73" s="3">
        <v>0</v>
      </c>
      <c r="L73" s="3">
        <v>0</v>
      </c>
      <c r="M73" s="3">
        <v>61</v>
      </c>
      <c r="N73" s="3" t="s">
        <v>203</v>
      </c>
      <c r="O73" s="3" t="s">
        <v>43</v>
      </c>
      <c r="P73" s="3" t="s">
        <v>44</v>
      </c>
      <c r="Q73" s="3">
        <v>5</v>
      </c>
      <c r="R73" s="3">
        <v>78362</v>
      </c>
      <c r="S73" s="3">
        <v>548</v>
      </c>
      <c r="T73" s="3" t="s">
        <v>45</v>
      </c>
      <c r="U73" s="3">
        <v>3</v>
      </c>
      <c r="V73" s="3">
        <v>919</v>
      </c>
      <c r="W73" s="5" t="str">
        <f t="shared" si="4"/>
        <v>520-599</v>
      </c>
      <c r="X73" s="5" t="str">
        <f t="shared" si="5"/>
        <v>Low (&lt;=35%)</v>
      </c>
      <c r="Y73" s="5" t="str">
        <f t="shared" si="6"/>
        <v>Employed</v>
      </c>
      <c r="Z73" s="3" t="str">
        <f t="shared" si="7"/>
        <v>Consumer &amp; Personal</v>
      </c>
    </row>
    <row r="74" spans="1:26" ht="17.399999999999999" x14ac:dyDescent="0.35">
      <c r="A74" s="3" t="s">
        <v>205</v>
      </c>
      <c r="B74" s="3" t="s">
        <v>206</v>
      </c>
      <c r="C74" s="4">
        <v>45715</v>
      </c>
      <c r="D74" s="3" t="s">
        <v>61</v>
      </c>
      <c r="E74" s="3">
        <v>12000</v>
      </c>
      <c r="F74" s="3">
        <v>60</v>
      </c>
      <c r="G74" s="3">
        <v>12.84</v>
      </c>
      <c r="H74" s="3">
        <v>272.06</v>
      </c>
      <c r="I74" s="3">
        <v>52</v>
      </c>
      <c r="J74" s="3" t="s">
        <v>32</v>
      </c>
      <c r="K74" s="3">
        <v>119</v>
      </c>
      <c r="L74" s="3">
        <v>1</v>
      </c>
      <c r="M74" s="3">
        <v>38</v>
      </c>
      <c r="N74" s="3" t="s">
        <v>57</v>
      </c>
      <c r="O74" s="3" t="s">
        <v>43</v>
      </c>
      <c r="P74" s="3" t="s">
        <v>37</v>
      </c>
      <c r="Q74" s="3">
        <v>8</v>
      </c>
      <c r="R74" s="3">
        <v>61452</v>
      </c>
      <c r="S74" s="3">
        <v>729</v>
      </c>
      <c r="T74" s="3" t="s">
        <v>29</v>
      </c>
      <c r="U74" s="3">
        <v>1</v>
      </c>
      <c r="V74" s="3">
        <v>2393</v>
      </c>
      <c r="W74" s="5" t="str">
        <f t="shared" si="4"/>
        <v>700-749</v>
      </c>
      <c r="X74" s="5" t="str">
        <f t="shared" si="5"/>
        <v>High (51-75%)</v>
      </c>
      <c r="Y74" s="5" t="str">
        <f t="shared" si="6"/>
        <v>Employed</v>
      </c>
      <c r="Z74" s="3" t="str">
        <f t="shared" si="7"/>
        <v>Investment &amp; Growth</v>
      </c>
    </row>
    <row r="75" spans="1:26" ht="17.399999999999999" x14ac:dyDescent="0.35">
      <c r="A75" s="3" t="s">
        <v>207</v>
      </c>
      <c r="B75" s="3" t="s">
        <v>208</v>
      </c>
      <c r="C75" s="4">
        <v>45361</v>
      </c>
      <c r="D75" s="3" t="s">
        <v>64</v>
      </c>
      <c r="E75" s="3">
        <v>5200</v>
      </c>
      <c r="F75" s="3">
        <v>36</v>
      </c>
      <c r="G75" s="3">
        <v>9.4600000000000009</v>
      </c>
      <c r="H75" s="3">
        <v>166.47</v>
      </c>
      <c r="I75" s="3">
        <v>10.5</v>
      </c>
      <c r="J75" s="3" t="s">
        <v>48</v>
      </c>
      <c r="K75" s="3">
        <v>0</v>
      </c>
      <c r="L75" s="3">
        <v>0</v>
      </c>
      <c r="M75" s="3">
        <v>52</v>
      </c>
      <c r="N75" s="3" t="s">
        <v>179</v>
      </c>
      <c r="O75" s="3" t="s">
        <v>27</v>
      </c>
      <c r="P75" s="3" t="s">
        <v>37</v>
      </c>
      <c r="Q75" s="3">
        <v>14</v>
      </c>
      <c r="R75" s="3">
        <v>57596</v>
      </c>
      <c r="S75" s="3">
        <v>709</v>
      </c>
      <c r="T75" s="3" t="s">
        <v>29</v>
      </c>
      <c r="U75" s="3">
        <v>4</v>
      </c>
      <c r="V75" s="3">
        <v>336</v>
      </c>
      <c r="W75" s="5" t="str">
        <f t="shared" si="4"/>
        <v>700-749</v>
      </c>
      <c r="X75" s="5" t="str">
        <f t="shared" si="5"/>
        <v>Low (&lt;=35%)</v>
      </c>
      <c r="Y75" s="5" t="str">
        <f t="shared" si="6"/>
        <v>Employed</v>
      </c>
      <c r="Z75" s="3" t="str">
        <f t="shared" si="7"/>
        <v>Investment &amp; Growth</v>
      </c>
    </row>
    <row r="76" spans="1:26" ht="17.399999999999999" x14ac:dyDescent="0.35">
      <c r="A76" s="3" t="s">
        <v>209</v>
      </c>
      <c r="B76" s="3" t="s">
        <v>210</v>
      </c>
      <c r="C76" s="4">
        <v>45471</v>
      </c>
      <c r="D76" s="3" t="s">
        <v>52</v>
      </c>
      <c r="E76" s="3">
        <v>29500</v>
      </c>
      <c r="F76" s="3">
        <v>60</v>
      </c>
      <c r="G76" s="3">
        <v>14.67</v>
      </c>
      <c r="H76" s="3">
        <v>696.7</v>
      </c>
      <c r="I76" s="3">
        <v>67.2</v>
      </c>
      <c r="J76" s="3" t="s">
        <v>32</v>
      </c>
      <c r="K76" s="3">
        <v>116</v>
      </c>
      <c r="L76" s="3">
        <v>1</v>
      </c>
      <c r="M76" s="3">
        <v>23</v>
      </c>
      <c r="N76" s="3" t="s">
        <v>135</v>
      </c>
      <c r="O76" s="3" t="s">
        <v>72</v>
      </c>
      <c r="P76" s="3" t="s">
        <v>37</v>
      </c>
      <c r="Q76" s="3">
        <v>1</v>
      </c>
      <c r="R76" s="3">
        <v>56348</v>
      </c>
      <c r="S76" s="3">
        <v>608</v>
      </c>
      <c r="T76" s="3" t="s">
        <v>38</v>
      </c>
      <c r="U76" s="3">
        <v>0</v>
      </c>
      <c r="V76" s="3">
        <v>2459</v>
      </c>
      <c r="W76" s="5" t="str">
        <f t="shared" si="4"/>
        <v>600-649</v>
      </c>
      <c r="X76" s="5" t="str">
        <f t="shared" si="5"/>
        <v>High (51-75%)</v>
      </c>
      <c r="Y76" s="5" t="str">
        <f t="shared" si="6"/>
        <v>Employed</v>
      </c>
      <c r="Z76" s="3" t="str">
        <f t="shared" si="7"/>
        <v>Investment &amp; Growth</v>
      </c>
    </row>
    <row r="77" spans="1:26" ht="17.399999999999999" x14ac:dyDescent="0.35">
      <c r="A77" s="3" t="s">
        <v>211</v>
      </c>
      <c r="B77" s="3" t="s">
        <v>212</v>
      </c>
      <c r="C77" s="4">
        <v>45763</v>
      </c>
      <c r="D77" s="3" t="s">
        <v>24</v>
      </c>
      <c r="E77" s="3">
        <v>40300</v>
      </c>
      <c r="F77" s="3">
        <v>24</v>
      </c>
      <c r="G77" s="3">
        <v>8.41</v>
      </c>
      <c r="H77" s="3">
        <v>1830.2</v>
      </c>
      <c r="I77" s="3">
        <v>53.2</v>
      </c>
      <c r="J77" s="3" t="s">
        <v>48</v>
      </c>
      <c r="K77" s="3">
        <v>0</v>
      </c>
      <c r="L77" s="3">
        <v>0</v>
      </c>
      <c r="M77" s="3">
        <v>51</v>
      </c>
      <c r="N77" s="3" t="s">
        <v>213</v>
      </c>
      <c r="O77" s="3" t="s">
        <v>43</v>
      </c>
      <c r="P77" s="3" t="s">
        <v>28</v>
      </c>
      <c r="Q77" s="3">
        <v>7</v>
      </c>
      <c r="R77" s="3">
        <v>51304</v>
      </c>
      <c r="S77" s="3">
        <v>840</v>
      </c>
      <c r="T77" s="3" t="s">
        <v>29</v>
      </c>
      <c r="U77" s="3">
        <v>4</v>
      </c>
      <c r="V77" s="3">
        <v>444</v>
      </c>
      <c r="W77" s="5" t="str">
        <f t="shared" si="4"/>
        <v>750+</v>
      </c>
      <c r="X77" s="5" t="str">
        <f t="shared" si="5"/>
        <v>High (51-75%)</v>
      </c>
      <c r="Y77" s="5" t="str">
        <f t="shared" si="6"/>
        <v>Self-Employed</v>
      </c>
      <c r="Z77" s="3" t="str">
        <f t="shared" si="7"/>
        <v>Consumer &amp; Personal</v>
      </c>
    </row>
    <row r="78" spans="1:26" ht="17.399999999999999" x14ac:dyDescent="0.35">
      <c r="A78" s="3" t="s">
        <v>214</v>
      </c>
      <c r="B78" s="3" t="s">
        <v>212</v>
      </c>
      <c r="C78" s="4">
        <v>45615</v>
      </c>
      <c r="D78" s="3" t="s">
        <v>31</v>
      </c>
      <c r="E78" s="3">
        <v>4700</v>
      </c>
      <c r="F78" s="3">
        <v>60</v>
      </c>
      <c r="G78" s="3">
        <v>7.5</v>
      </c>
      <c r="H78" s="3">
        <v>94.18</v>
      </c>
      <c r="I78" s="3">
        <v>12.6</v>
      </c>
      <c r="J78" s="3" t="s">
        <v>48</v>
      </c>
      <c r="K78" s="3">
        <v>0</v>
      </c>
      <c r="L78" s="3">
        <v>0</v>
      </c>
      <c r="M78" s="3">
        <v>51</v>
      </c>
      <c r="N78" s="3" t="s">
        <v>213</v>
      </c>
      <c r="O78" s="3" t="s">
        <v>43</v>
      </c>
      <c r="P78" s="3" t="s">
        <v>28</v>
      </c>
      <c r="Q78" s="3">
        <v>7</v>
      </c>
      <c r="R78" s="3">
        <v>51304</v>
      </c>
      <c r="S78" s="3">
        <v>840</v>
      </c>
      <c r="T78" s="3" t="s">
        <v>29</v>
      </c>
      <c r="U78" s="3">
        <v>4</v>
      </c>
      <c r="V78" s="3">
        <v>444</v>
      </c>
      <c r="W78" s="5" t="str">
        <f t="shared" si="4"/>
        <v>750+</v>
      </c>
      <c r="X78" s="5" t="str">
        <f t="shared" si="5"/>
        <v>Low (&lt;=35%)</v>
      </c>
      <c r="Y78" s="5" t="str">
        <f t="shared" si="6"/>
        <v>Self-Employed</v>
      </c>
      <c r="Z78" s="3" t="str">
        <f t="shared" si="7"/>
        <v>Debt &amp; Assets</v>
      </c>
    </row>
    <row r="79" spans="1:26" ht="17.399999999999999" x14ac:dyDescent="0.35">
      <c r="A79" s="3" t="s">
        <v>215</v>
      </c>
      <c r="B79" s="3" t="s">
        <v>216</v>
      </c>
      <c r="C79" s="4">
        <v>45676</v>
      </c>
      <c r="D79" s="3" t="s">
        <v>52</v>
      </c>
      <c r="E79" s="3">
        <v>5800</v>
      </c>
      <c r="F79" s="3">
        <v>12</v>
      </c>
      <c r="G79" s="3">
        <v>9.58</v>
      </c>
      <c r="H79" s="3">
        <v>508.78</v>
      </c>
      <c r="I79" s="3">
        <v>47.9</v>
      </c>
      <c r="J79" s="3" t="s">
        <v>48</v>
      </c>
      <c r="K79" s="3">
        <v>0</v>
      </c>
      <c r="L79" s="3">
        <v>0</v>
      </c>
      <c r="M79" s="3">
        <v>23</v>
      </c>
      <c r="N79" s="3" t="s">
        <v>115</v>
      </c>
      <c r="O79" s="3" t="s">
        <v>72</v>
      </c>
      <c r="P79" s="3" t="s">
        <v>73</v>
      </c>
      <c r="Q79" s="3">
        <v>3</v>
      </c>
      <c r="R79" s="3">
        <v>72879</v>
      </c>
      <c r="S79" s="3">
        <v>727</v>
      </c>
      <c r="T79" s="3" t="s">
        <v>29</v>
      </c>
      <c r="U79" s="3">
        <v>0</v>
      </c>
      <c r="V79" s="3">
        <v>2400</v>
      </c>
      <c r="W79" s="5" t="str">
        <f t="shared" si="4"/>
        <v>700-749</v>
      </c>
      <c r="X79" s="5" t="str">
        <f t="shared" si="5"/>
        <v>Manageable (36-50%)</v>
      </c>
      <c r="Y79" s="5" t="str">
        <f t="shared" si="6"/>
        <v>Employed</v>
      </c>
      <c r="Z79" s="3" t="str">
        <f t="shared" si="7"/>
        <v>Investment &amp; Growth</v>
      </c>
    </row>
    <row r="80" spans="1:26" ht="17.399999999999999" x14ac:dyDescent="0.35">
      <c r="A80" s="3" t="s">
        <v>217</v>
      </c>
      <c r="B80" s="3" t="s">
        <v>218</v>
      </c>
      <c r="C80" s="4">
        <v>45614</v>
      </c>
      <c r="D80" s="3" t="s">
        <v>77</v>
      </c>
      <c r="E80" s="3">
        <v>15400</v>
      </c>
      <c r="F80" s="3">
        <v>36</v>
      </c>
      <c r="G80" s="3">
        <v>9.58</v>
      </c>
      <c r="H80" s="3">
        <v>493.88</v>
      </c>
      <c r="I80" s="3">
        <v>36</v>
      </c>
      <c r="J80" s="3" t="s">
        <v>48</v>
      </c>
      <c r="K80" s="3">
        <v>0</v>
      </c>
      <c r="L80" s="3">
        <v>0</v>
      </c>
      <c r="M80" s="3">
        <v>62</v>
      </c>
      <c r="N80" s="3" t="s">
        <v>167</v>
      </c>
      <c r="O80" s="3" t="s">
        <v>79</v>
      </c>
      <c r="P80" s="3" t="s">
        <v>28</v>
      </c>
      <c r="Q80" s="3">
        <v>7</v>
      </c>
      <c r="R80" s="3">
        <v>43333</v>
      </c>
      <c r="S80" s="3">
        <v>837</v>
      </c>
      <c r="T80" s="3" t="s">
        <v>29</v>
      </c>
      <c r="U80" s="3">
        <v>2</v>
      </c>
      <c r="V80" s="3">
        <v>807</v>
      </c>
      <c r="W80" s="5" t="str">
        <f t="shared" si="4"/>
        <v>750+</v>
      </c>
      <c r="X80" s="5" t="str">
        <f t="shared" si="5"/>
        <v>Manageable (36-50%)</v>
      </c>
      <c r="Y80" s="5" t="str">
        <f t="shared" si="6"/>
        <v>Self-Employed</v>
      </c>
      <c r="Z80" s="3" t="str">
        <f t="shared" si="7"/>
        <v>Consumer &amp; Personal</v>
      </c>
    </row>
    <row r="81" spans="1:26" ht="17.399999999999999" x14ac:dyDescent="0.35">
      <c r="A81" s="3" t="s">
        <v>219</v>
      </c>
      <c r="B81" s="3" t="s">
        <v>220</v>
      </c>
      <c r="C81" s="4">
        <v>45471</v>
      </c>
      <c r="D81" s="3" t="s">
        <v>52</v>
      </c>
      <c r="E81" s="3">
        <v>47600</v>
      </c>
      <c r="F81" s="3">
        <v>24</v>
      </c>
      <c r="G81" s="3">
        <v>13.53</v>
      </c>
      <c r="H81" s="3">
        <v>2274.86</v>
      </c>
      <c r="I81" s="3">
        <v>86.4</v>
      </c>
      <c r="J81" s="3" t="s">
        <v>32</v>
      </c>
      <c r="K81" s="3">
        <v>39</v>
      </c>
      <c r="L81" s="3">
        <v>1</v>
      </c>
      <c r="M81" s="3">
        <v>49</v>
      </c>
      <c r="N81" s="3" t="s">
        <v>123</v>
      </c>
      <c r="O81" s="3" t="s">
        <v>43</v>
      </c>
      <c r="P81" s="3" t="s">
        <v>37</v>
      </c>
      <c r="Q81" s="3">
        <v>27</v>
      </c>
      <c r="R81" s="3">
        <v>81913</v>
      </c>
      <c r="S81" s="3">
        <v>546</v>
      </c>
      <c r="T81" s="3" t="s">
        <v>45</v>
      </c>
      <c r="U81" s="3">
        <v>0</v>
      </c>
      <c r="V81" s="3">
        <v>3620</v>
      </c>
      <c r="W81" s="5" t="str">
        <f t="shared" si="4"/>
        <v>520-599</v>
      </c>
      <c r="X81" s="5" t="str">
        <f t="shared" si="5"/>
        <v>Critical (&gt;75%)</v>
      </c>
      <c r="Y81" s="5" t="str">
        <f t="shared" si="6"/>
        <v>Employed</v>
      </c>
      <c r="Z81" s="3" t="str">
        <f t="shared" si="7"/>
        <v>Investment &amp; Growth</v>
      </c>
    </row>
    <row r="82" spans="1:26" ht="17.399999999999999" x14ac:dyDescent="0.35">
      <c r="A82" s="3" t="s">
        <v>221</v>
      </c>
      <c r="B82" s="3" t="s">
        <v>220</v>
      </c>
      <c r="C82" s="4">
        <v>45804</v>
      </c>
      <c r="D82" s="3" t="s">
        <v>64</v>
      </c>
      <c r="E82" s="3">
        <v>23300</v>
      </c>
      <c r="F82" s="3">
        <v>12</v>
      </c>
      <c r="G82" s="3">
        <v>14.9</v>
      </c>
      <c r="H82" s="3">
        <v>2101.92</v>
      </c>
      <c r="I82" s="3">
        <v>83.8</v>
      </c>
      <c r="J82" s="3" t="s">
        <v>32</v>
      </c>
      <c r="K82" s="3">
        <v>117</v>
      </c>
      <c r="L82" s="3">
        <v>1</v>
      </c>
      <c r="M82" s="3">
        <v>49</v>
      </c>
      <c r="N82" s="3" t="s">
        <v>123</v>
      </c>
      <c r="O82" s="3" t="s">
        <v>43</v>
      </c>
      <c r="P82" s="3" t="s">
        <v>37</v>
      </c>
      <c r="Q82" s="3">
        <v>27</v>
      </c>
      <c r="R82" s="3">
        <v>81913</v>
      </c>
      <c r="S82" s="3">
        <v>546</v>
      </c>
      <c r="T82" s="3" t="s">
        <v>45</v>
      </c>
      <c r="U82" s="3">
        <v>0</v>
      </c>
      <c r="V82" s="3">
        <v>3620</v>
      </c>
      <c r="W82" s="5" t="str">
        <f t="shared" si="4"/>
        <v>520-599</v>
      </c>
      <c r="X82" s="5" t="str">
        <f t="shared" si="5"/>
        <v>Critical (&gt;75%)</v>
      </c>
      <c r="Y82" s="5" t="str">
        <f t="shared" si="6"/>
        <v>Employed</v>
      </c>
      <c r="Z82" s="3" t="str">
        <f t="shared" si="7"/>
        <v>Investment &amp; Growth</v>
      </c>
    </row>
    <row r="83" spans="1:26" ht="17.399999999999999" x14ac:dyDescent="0.35">
      <c r="A83" s="3" t="s">
        <v>222</v>
      </c>
      <c r="B83" s="3" t="s">
        <v>223</v>
      </c>
      <c r="C83" s="4">
        <v>45820</v>
      </c>
      <c r="D83" s="3" t="s">
        <v>35</v>
      </c>
      <c r="E83" s="3">
        <v>16300</v>
      </c>
      <c r="F83" s="3">
        <v>12</v>
      </c>
      <c r="G83" s="3">
        <v>13.69</v>
      </c>
      <c r="H83" s="3">
        <v>1461.15</v>
      </c>
      <c r="I83" s="3">
        <v>76.900000000000006</v>
      </c>
      <c r="J83" s="3" t="s">
        <v>25</v>
      </c>
      <c r="K83" s="3">
        <v>0</v>
      </c>
      <c r="L83" s="3">
        <v>0</v>
      </c>
      <c r="M83" s="3">
        <v>62</v>
      </c>
      <c r="N83" s="3" t="s">
        <v>42</v>
      </c>
      <c r="O83" s="3" t="s">
        <v>72</v>
      </c>
      <c r="P83" s="3" t="s">
        <v>37</v>
      </c>
      <c r="Q83" s="3">
        <v>33</v>
      </c>
      <c r="R83" s="3">
        <v>67726</v>
      </c>
      <c r="S83" s="3">
        <v>625</v>
      </c>
      <c r="T83" s="3" t="s">
        <v>29</v>
      </c>
      <c r="U83" s="3">
        <v>2</v>
      </c>
      <c r="V83" s="3">
        <v>2877</v>
      </c>
      <c r="W83" s="5" t="str">
        <f t="shared" si="4"/>
        <v>600-649</v>
      </c>
      <c r="X83" s="5" t="str">
        <f t="shared" si="5"/>
        <v>Critical (&gt;75%)</v>
      </c>
      <c r="Y83" s="5" t="str">
        <f t="shared" si="6"/>
        <v>Employed</v>
      </c>
      <c r="Z83" s="3" t="str">
        <f t="shared" si="7"/>
        <v>Consumer &amp; Personal</v>
      </c>
    </row>
    <row r="84" spans="1:26" ht="17.399999999999999" x14ac:dyDescent="0.35">
      <c r="A84" s="3" t="s">
        <v>224</v>
      </c>
      <c r="B84" s="3" t="s">
        <v>223</v>
      </c>
      <c r="C84" s="4">
        <v>45337</v>
      </c>
      <c r="D84" s="3" t="s">
        <v>24</v>
      </c>
      <c r="E84" s="3">
        <v>43500</v>
      </c>
      <c r="F84" s="3">
        <v>12</v>
      </c>
      <c r="G84" s="3">
        <v>9.6</v>
      </c>
      <c r="H84" s="3">
        <v>3816.25</v>
      </c>
      <c r="I84" s="3">
        <v>118.6</v>
      </c>
      <c r="J84" s="3" t="s">
        <v>48</v>
      </c>
      <c r="K84" s="3">
        <v>0</v>
      </c>
      <c r="L84" s="3">
        <v>0</v>
      </c>
      <c r="M84" s="3">
        <v>62</v>
      </c>
      <c r="N84" s="3" t="s">
        <v>42</v>
      </c>
      <c r="O84" s="3" t="s">
        <v>72</v>
      </c>
      <c r="P84" s="3" t="s">
        <v>37</v>
      </c>
      <c r="Q84" s="3">
        <v>33</v>
      </c>
      <c r="R84" s="3">
        <v>67726</v>
      </c>
      <c r="S84" s="3">
        <v>625</v>
      </c>
      <c r="T84" s="3" t="s">
        <v>29</v>
      </c>
      <c r="U84" s="3">
        <v>2</v>
      </c>
      <c r="V84" s="3">
        <v>2877</v>
      </c>
      <c r="W84" s="5" t="str">
        <f t="shared" si="4"/>
        <v>600-649</v>
      </c>
      <c r="X84" s="5" t="str">
        <f t="shared" si="5"/>
        <v>Critical (&gt;75%)</v>
      </c>
      <c r="Y84" s="5" t="str">
        <f t="shared" si="6"/>
        <v>Employed</v>
      </c>
      <c r="Z84" s="3" t="str">
        <f t="shared" si="7"/>
        <v>Consumer &amp; Personal</v>
      </c>
    </row>
    <row r="85" spans="1:26" ht="17.399999999999999" x14ac:dyDescent="0.35">
      <c r="A85" s="3" t="s">
        <v>225</v>
      </c>
      <c r="B85" s="3" t="s">
        <v>226</v>
      </c>
      <c r="C85" s="4">
        <v>45611</v>
      </c>
      <c r="D85" s="3" t="s">
        <v>67</v>
      </c>
      <c r="E85" s="3">
        <v>25900</v>
      </c>
      <c r="F85" s="3">
        <v>36</v>
      </c>
      <c r="G85" s="3">
        <v>8.4499999999999993</v>
      </c>
      <c r="H85" s="3">
        <v>817</v>
      </c>
      <c r="I85" s="3">
        <v>40</v>
      </c>
      <c r="J85" s="3" t="s">
        <v>48</v>
      </c>
      <c r="K85" s="3">
        <v>0</v>
      </c>
      <c r="L85" s="3">
        <v>0</v>
      </c>
      <c r="M85" s="3">
        <v>52</v>
      </c>
      <c r="N85" s="3" t="s">
        <v>53</v>
      </c>
      <c r="O85" s="3" t="s">
        <v>43</v>
      </c>
      <c r="P85" s="3" t="s">
        <v>44</v>
      </c>
      <c r="Q85" s="3">
        <v>15</v>
      </c>
      <c r="R85" s="3">
        <v>78399</v>
      </c>
      <c r="S85" s="3">
        <v>700</v>
      </c>
      <c r="T85" s="3" t="s">
        <v>29</v>
      </c>
      <c r="U85" s="3">
        <v>0</v>
      </c>
      <c r="V85" s="3">
        <v>1799</v>
      </c>
      <c r="W85" s="5" t="str">
        <f t="shared" si="4"/>
        <v>700-749</v>
      </c>
      <c r="X85" s="5" t="str">
        <f t="shared" si="5"/>
        <v>Manageable (36-50%)</v>
      </c>
      <c r="Y85" s="5" t="str">
        <f t="shared" si="6"/>
        <v>Employed</v>
      </c>
      <c r="Z85" s="3" t="str">
        <f t="shared" si="7"/>
        <v>Debt &amp; Assets</v>
      </c>
    </row>
    <row r="86" spans="1:26" ht="17.399999999999999" x14ac:dyDescent="0.35">
      <c r="A86" s="3" t="s">
        <v>227</v>
      </c>
      <c r="B86" s="3" t="s">
        <v>228</v>
      </c>
      <c r="C86" s="4">
        <v>45453</v>
      </c>
      <c r="D86" s="3" t="s">
        <v>35</v>
      </c>
      <c r="E86" s="3">
        <v>19800</v>
      </c>
      <c r="F86" s="3">
        <v>12</v>
      </c>
      <c r="G86" s="3">
        <v>8.23</v>
      </c>
      <c r="H86" s="3">
        <v>1724.48</v>
      </c>
      <c r="I86" s="3">
        <v>51.2</v>
      </c>
      <c r="J86" s="3" t="s">
        <v>99</v>
      </c>
      <c r="K86" s="3">
        <v>0</v>
      </c>
      <c r="L86" s="3">
        <v>0</v>
      </c>
      <c r="M86" s="3">
        <v>51</v>
      </c>
      <c r="N86" s="3" t="s">
        <v>115</v>
      </c>
      <c r="O86" s="3" t="s">
        <v>43</v>
      </c>
      <c r="P86" s="3" t="s">
        <v>28</v>
      </c>
      <c r="Q86" s="3">
        <v>20</v>
      </c>
      <c r="R86" s="3">
        <v>62062</v>
      </c>
      <c r="S86" s="3">
        <v>788</v>
      </c>
      <c r="T86" s="3" t="s">
        <v>38</v>
      </c>
      <c r="U86" s="3">
        <v>1</v>
      </c>
      <c r="V86" s="3">
        <v>926</v>
      </c>
      <c r="W86" s="5" t="str">
        <f t="shared" si="4"/>
        <v>750+</v>
      </c>
      <c r="X86" s="5" t="str">
        <f t="shared" si="5"/>
        <v>High (51-75%)</v>
      </c>
      <c r="Y86" s="5" t="str">
        <f t="shared" si="6"/>
        <v>Self-Employed</v>
      </c>
      <c r="Z86" s="3" t="str">
        <f t="shared" si="7"/>
        <v>Consumer &amp; Personal</v>
      </c>
    </row>
    <row r="87" spans="1:26" ht="17.399999999999999" x14ac:dyDescent="0.35">
      <c r="A87" s="3" t="s">
        <v>229</v>
      </c>
      <c r="B87" s="3" t="s">
        <v>230</v>
      </c>
      <c r="C87" s="4">
        <v>45582</v>
      </c>
      <c r="D87" s="3" t="s">
        <v>64</v>
      </c>
      <c r="E87" s="3">
        <v>28400</v>
      </c>
      <c r="F87" s="3">
        <v>36</v>
      </c>
      <c r="G87" s="3">
        <v>11.71</v>
      </c>
      <c r="H87" s="3">
        <v>939.36</v>
      </c>
      <c r="I87" s="3">
        <v>39.700000000000003</v>
      </c>
      <c r="J87" s="3" t="s">
        <v>48</v>
      </c>
      <c r="K87" s="3">
        <v>0</v>
      </c>
      <c r="L87" s="3">
        <v>0</v>
      </c>
      <c r="M87" s="3">
        <v>39</v>
      </c>
      <c r="N87" s="3" t="s">
        <v>53</v>
      </c>
      <c r="O87" s="3" t="s">
        <v>72</v>
      </c>
      <c r="P87" s="3" t="s">
        <v>28</v>
      </c>
      <c r="Q87" s="3">
        <v>16</v>
      </c>
      <c r="R87" s="3">
        <v>78303</v>
      </c>
      <c r="S87" s="3">
        <v>540</v>
      </c>
      <c r="T87" s="3" t="s">
        <v>29</v>
      </c>
      <c r="U87" s="3">
        <v>0</v>
      </c>
      <c r="V87" s="3">
        <v>1652</v>
      </c>
      <c r="W87" s="5" t="str">
        <f t="shared" si="4"/>
        <v>520-599</v>
      </c>
      <c r="X87" s="5" t="str">
        <f t="shared" si="5"/>
        <v>Manageable (36-50%)</v>
      </c>
      <c r="Y87" s="5" t="str">
        <f t="shared" si="6"/>
        <v>Self-Employed</v>
      </c>
      <c r="Z87" s="3" t="str">
        <f t="shared" si="7"/>
        <v>Investment &amp; Growth</v>
      </c>
    </row>
    <row r="88" spans="1:26" ht="17.399999999999999" x14ac:dyDescent="0.35">
      <c r="A88" s="3" t="s">
        <v>231</v>
      </c>
      <c r="B88" s="3" t="s">
        <v>232</v>
      </c>
      <c r="C88" s="4">
        <v>45343</v>
      </c>
      <c r="D88" s="3" t="s">
        <v>35</v>
      </c>
      <c r="E88" s="3">
        <v>8200</v>
      </c>
      <c r="F88" s="3">
        <v>48</v>
      </c>
      <c r="G88" s="3">
        <v>11.25</v>
      </c>
      <c r="H88" s="3">
        <v>212.93</v>
      </c>
      <c r="I88" s="3">
        <v>27.5</v>
      </c>
      <c r="J88" s="3" t="s">
        <v>48</v>
      </c>
      <c r="K88" s="3">
        <v>0</v>
      </c>
      <c r="L88" s="3">
        <v>0</v>
      </c>
      <c r="M88" s="3">
        <v>57</v>
      </c>
      <c r="N88" s="3" t="s">
        <v>53</v>
      </c>
      <c r="O88" s="3" t="s">
        <v>72</v>
      </c>
      <c r="P88" s="3" t="s">
        <v>28</v>
      </c>
      <c r="Q88" s="3">
        <v>28</v>
      </c>
      <c r="R88" s="3">
        <v>110018</v>
      </c>
      <c r="S88" s="3">
        <v>796</v>
      </c>
      <c r="T88" s="3" t="s">
        <v>29</v>
      </c>
      <c r="U88" s="3">
        <v>0</v>
      </c>
      <c r="V88" s="3">
        <v>2312</v>
      </c>
      <c r="W88" s="5" t="str">
        <f t="shared" si="4"/>
        <v>750+</v>
      </c>
      <c r="X88" s="5" t="str">
        <f t="shared" si="5"/>
        <v>Low (&lt;=35%)</v>
      </c>
      <c r="Y88" s="5" t="str">
        <f t="shared" si="6"/>
        <v>Self-Employed</v>
      </c>
      <c r="Z88" s="3" t="str">
        <f t="shared" si="7"/>
        <v>Consumer &amp; Personal</v>
      </c>
    </row>
    <row r="89" spans="1:26" ht="17.399999999999999" x14ac:dyDescent="0.35">
      <c r="A89" s="3" t="s">
        <v>233</v>
      </c>
      <c r="B89" s="3" t="s">
        <v>232</v>
      </c>
      <c r="C89" s="4">
        <v>45611</v>
      </c>
      <c r="D89" s="3" t="s">
        <v>56</v>
      </c>
      <c r="E89" s="3">
        <v>44800</v>
      </c>
      <c r="F89" s="3">
        <v>48</v>
      </c>
      <c r="G89" s="3">
        <v>9.81</v>
      </c>
      <c r="H89" s="3">
        <v>1132.1600000000001</v>
      </c>
      <c r="I89" s="3">
        <v>37.6</v>
      </c>
      <c r="J89" s="3" t="s">
        <v>25</v>
      </c>
      <c r="K89" s="3">
        <v>0</v>
      </c>
      <c r="L89" s="3">
        <v>0</v>
      </c>
      <c r="M89" s="3">
        <v>57</v>
      </c>
      <c r="N89" s="3" t="s">
        <v>53</v>
      </c>
      <c r="O89" s="3" t="s">
        <v>72</v>
      </c>
      <c r="P89" s="3" t="s">
        <v>28</v>
      </c>
      <c r="Q89" s="3">
        <v>28</v>
      </c>
      <c r="R89" s="3">
        <v>110018</v>
      </c>
      <c r="S89" s="3">
        <v>796</v>
      </c>
      <c r="T89" s="3" t="s">
        <v>29</v>
      </c>
      <c r="U89" s="3">
        <v>0</v>
      </c>
      <c r="V89" s="3">
        <v>2312</v>
      </c>
      <c r="W89" s="5" t="str">
        <f t="shared" si="4"/>
        <v>750+</v>
      </c>
      <c r="X89" s="5" t="str">
        <f t="shared" si="5"/>
        <v>Manageable (36-50%)</v>
      </c>
      <c r="Y89" s="5" t="str">
        <f t="shared" si="6"/>
        <v>Self-Employed</v>
      </c>
      <c r="Z89" s="3" t="str">
        <f t="shared" si="7"/>
        <v>Consumer &amp; Personal</v>
      </c>
    </row>
    <row r="90" spans="1:26" ht="17.399999999999999" x14ac:dyDescent="0.35">
      <c r="A90" s="3" t="s">
        <v>234</v>
      </c>
      <c r="B90" s="3" t="s">
        <v>235</v>
      </c>
      <c r="C90" s="4">
        <v>45387</v>
      </c>
      <c r="D90" s="3" t="s">
        <v>61</v>
      </c>
      <c r="E90" s="3">
        <v>31800</v>
      </c>
      <c r="F90" s="3">
        <v>48</v>
      </c>
      <c r="G90" s="3">
        <v>9.57</v>
      </c>
      <c r="H90" s="3">
        <v>799.98</v>
      </c>
      <c r="I90" s="3">
        <v>56.6</v>
      </c>
      <c r="J90" s="3" t="s">
        <v>99</v>
      </c>
      <c r="K90" s="3">
        <v>15</v>
      </c>
      <c r="L90" s="3">
        <v>0</v>
      </c>
      <c r="M90" s="3">
        <v>37</v>
      </c>
      <c r="N90" s="3" t="s">
        <v>89</v>
      </c>
      <c r="O90" s="3" t="s">
        <v>79</v>
      </c>
      <c r="P90" s="3" t="s">
        <v>73</v>
      </c>
      <c r="Q90" s="3">
        <v>11</v>
      </c>
      <c r="R90" s="3">
        <v>28195</v>
      </c>
      <c r="S90" s="3">
        <v>796</v>
      </c>
      <c r="T90" s="3" t="s">
        <v>45</v>
      </c>
      <c r="U90" s="3">
        <v>2</v>
      </c>
      <c r="V90" s="3">
        <v>530</v>
      </c>
      <c r="W90" s="5" t="str">
        <f t="shared" si="4"/>
        <v>750+</v>
      </c>
      <c r="X90" s="5" t="str">
        <f t="shared" si="5"/>
        <v>High (51-75%)</v>
      </c>
      <c r="Y90" s="5" t="str">
        <f t="shared" si="6"/>
        <v>Employed</v>
      </c>
      <c r="Z90" s="3" t="str">
        <f t="shared" si="7"/>
        <v>Investment &amp; Growth</v>
      </c>
    </row>
    <row r="91" spans="1:26" ht="17.399999999999999" x14ac:dyDescent="0.35">
      <c r="A91" s="3" t="s">
        <v>236</v>
      </c>
      <c r="B91" s="3" t="s">
        <v>235</v>
      </c>
      <c r="C91" s="4">
        <v>45521</v>
      </c>
      <c r="D91" s="3" t="s">
        <v>24</v>
      </c>
      <c r="E91" s="3">
        <v>12900</v>
      </c>
      <c r="F91" s="3">
        <v>48</v>
      </c>
      <c r="G91" s="3">
        <v>9.09</v>
      </c>
      <c r="H91" s="3">
        <v>321.57</v>
      </c>
      <c r="I91" s="3">
        <v>36.200000000000003</v>
      </c>
      <c r="J91" s="3" t="s">
        <v>99</v>
      </c>
      <c r="K91" s="3">
        <v>15</v>
      </c>
      <c r="L91" s="3">
        <v>0</v>
      </c>
      <c r="M91" s="3">
        <v>37</v>
      </c>
      <c r="N91" s="3" t="s">
        <v>89</v>
      </c>
      <c r="O91" s="3" t="s">
        <v>79</v>
      </c>
      <c r="P91" s="3" t="s">
        <v>73</v>
      </c>
      <c r="Q91" s="3">
        <v>11</v>
      </c>
      <c r="R91" s="3">
        <v>28195</v>
      </c>
      <c r="S91" s="3">
        <v>796</v>
      </c>
      <c r="T91" s="3" t="s">
        <v>45</v>
      </c>
      <c r="U91" s="3">
        <v>2</v>
      </c>
      <c r="V91" s="3">
        <v>530</v>
      </c>
      <c r="W91" s="5" t="str">
        <f t="shared" si="4"/>
        <v>750+</v>
      </c>
      <c r="X91" s="5" t="str">
        <f t="shared" si="5"/>
        <v>Manageable (36-50%)</v>
      </c>
      <c r="Y91" s="5" t="str">
        <f t="shared" si="6"/>
        <v>Employed</v>
      </c>
      <c r="Z91" s="3" t="str">
        <f t="shared" si="7"/>
        <v>Consumer &amp; Personal</v>
      </c>
    </row>
    <row r="92" spans="1:26" ht="17.399999999999999" x14ac:dyDescent="0.35">
      <c r="A92" s="3" t="s">
        <v>237</v>
      </c>
      <c r="B92" s="3" t="s">
        <v>238</v>
      </c>
      <c r="C92" s="4">
        <v>45322</v>
      </c>
      <c r="D92" s="3" t="s">
        <v>56</v>
      </c>
      <c r="E92" s="3">
        <v>27200</v>
      </c>
      <c r="F92" s="3">
        <v>36</v>
      </c>
      <c r="G92" s="3">
        <v>11.88</v>
      </c>
      <c r="H92" s="3">
        <v>901.87</v>
      </c>
      <c r="I92" s="3">
        <v>70.400000000000006</v>
      </c>
      <c r="J92" s="3" t="s">
        <v>32</v>
      </c>
      <c r="K92" s="3">
        <v>58</v>
      </c>
      <c r="L92" s="3">
        <v>1</v>
      </c>
      <c r="M92" s="3">
        <v>51</v>
      </c>
      <c r="N92" s="3" t="s">
        <v>119</v>
      </c>
      <c r="O92" s="3" t="s">
        <v>79</v>
      </c>
      <c r="P92" s="3" t="s">
        <v>37</v>
      </c>
      <c r="Q92" s="3">
        <v>20</v>
      </c>
      <c r="R92" s="3">
        <v>34974</v>
      </c>
      <c r="S92" s="3">
        <v>623</v>
      </c>
      <c r="T92" s="3" t="s">
        <v>38</v>
      </c>
      <c r="U92" s="3">
        <v>4</v>
      </c>
      <c r="V92" s="3">
        <v>1151</v>
      </c>
      <c r="W92" s="5" t="str">
        <f t="shared" si="4"/>
        <v>600-649</v>
      </c>
      <c r="X92" s="5" t="str">
        <f t="shared" si="5"/>
        <v>High (51-75%)</v>
      </c>
      <c r="Y92" s="5" t="str">
        <f t="shared" si="6"/>
        <v>Employed</v>
      </c>
      <c r="Z92" s="3" t="str">
        <f t="shared" si="7"/>
        <v>Consumer &amp; Personal</v>
      </c>
    </row>
    <row r="93" spans="1:26" ht="17.399999999999999" x14ac:dyDescent="0.35">
      <c r="A93" s="3" t="s">
        <v>239</v>
      </c>
      <c r="B93" s="3" t="s">
        <v>240</v>
      </c>
      <c r="C93" s="4">
        <v>45422</v>
      </c>
      <c r="D93" s="3" t="s">
        <v>24</v>
      </c>
      <c r="E93" s="3">
        <v>15500</v>
      </c>
      <c r="F93" s="3">
        <v>36</v>
      </c>
      <c r="G93" s="3">
        <v>9.64</v>
      </c>
      <c r="H93" s="3">
        <v>497.53</v>
      </c>
      <c r="I93" s="3">
        <v>29.3</v>
      </c>
      <c r="J93" s="3" t="s">
        <v>25</v>
      </c>
      <c r="K93" s="3">
        <v>0</v>
      </c>
      <c r="L93" s="3">
        <v>0</v>
      </c>
      <c r="M93" s="3">
        <v>34</v>
      </c>
      <c r="N93" s="3" t="s">
        <v>84</v>
      </c>
      <c r="O93" s="3" t="s">
        <v>79</v>
      </c>
      <c r="P93" s="3" t="s">
        <v>37</v>
      </c>
      <c r="Q93" s="3">
        <v>9</v>
      </c>
      <c r="R93" s="3">
        <v>62875</v>
      </c>
      <c r="S93" s="3">
        <v>803</v>
      </c>
      <c r="T93" s="3" t="s">
        <v>45</v>
      </c>
      <c r="U93" s="3">
        <v>3</v>
      </c>
      <c r="V93" s="3">
        <v>1038</v>
      </c>
      <c r="W93" s="5" t="str">
        <f t="shared" si="4"/>
        <v>750+</v>
      </c>
      <c r="X93" s="5" t="str">
        <f t="shared" si="5"/>
        <v>Low (&lt;=35%)</v>
      </c>
      <c r="Y93" s="5" t="str">
        <f t="shared" si="6"/>
        <v>Employed</v>
      </c>
      <c r="Z93" s="3" t="str">
        <f t="shared" si="7"/>
        <v>Consumer &amp; Personal</v>
      </c>
    </row>
    <row r="94" spans="1:26" ht="17.399999999999999" x14ac:dyDescent="0.35">
      <c r="A94" s="3" t="s">
        <v>241</v>
      </c>
      <c r="B94" s="3" t="s">
        <v>242</v>
      </c>
      <c r="C94" s="4">
        <v>45715</v>
      </c>
      <c r="D94" s="3" t="s">
        <v>35</v>
      </c>
      <c r="E94" s="3">
        <v>35700</v>
      </c>
      <c r="F94" s="3">
        <v>60</v>
      </c>
      <c r="G94" s="3">
        <v>11.14</v>
      </c>
      <c r="H94" s="3">
        <v>778.7</v>
      </c>
      <c r="I94" s="3">
        <v>74.900000000000006</v>
      </c>
      <c r="J94" s="3" t="s">
        <v>32</v>
      </c>
      <c r="K94" s="3">
        <v>92</v>
      </c>
      <c r="L94" s="3">
        <v>1</v>
      </c>
      <c r="M94" s="3">
        <v>45</v>
      </c>
      <c r="N94" s="3" t="s">
        <v>119</v>
      </c>
      <c r="O94" s="3" t="s">
        <v>27</v>
      </c>
      <c r="P94" s="3" t="s">
        <v>37</v>
      </c>
      <c r="Q94" s="3">
        <v>1</v>
      </c>
      <c r="R94" s="3">
        <v>41201</v>
      </c>
      <c r="S94" s="3">
        <v>670</v>
      </c>
      <c r="T94" s="3" t="s">
        <v>29</v>
      </c>
      <c r="U94" s="3">
        <v>0</v>
      </c>
      <c r="V94" s="3">
        <v>1792</v>
      </c>
      <c r="W94" s="5" t="str">
        <f t="shared" si="4"/>
        <v>650-699</v>
      </c>
      <c r="X94" s="5" t="str">
        <f t="shared" si="5"/>
        <v>High (51-75%)</v>
      </c>
      <c r="Y94" s="5" t="str">
        <f t="shared" si="6"/>
        <v>Employed</v>
      </c>
      <c r="Z94" s="3" t="str">
        <f t="shared" si="7"/>
        <v>Consumer &amp; Personal</v>
      </c>
    </row>
    <row r="95" spans="1:26" ht="17.399999999999999" x14ac:dyDescent="0.35">
      <c r="A95" s="3" t="s">
        <v>243</v>
      </c>
      <c r="B95" s="3" t="s">
        <v>244</v>
      </c>
      <c r="C95" s="4">
        <v>45737</v>
      </c>
      <c r="D95" s="3" t="s">
        <v>24</v>
      </c>
      <c r="E95" s="3">
        <v>18400</v>
      </c>
      <c r="F95" s="3">
        <v>60</v>
      </c>
      <c r="G95" s="3">
        <v>8.11</v>
      </c>
      <c r="H95" s="3">
        <v>374.06</v>
      </c>
      <c r="I95" s="3">
        <v>56.7</v>
      </c>
      <c r="J95" s="3" t="s">
        <v>99</v>
      </c>
      <c r="K95" s="3">
        <v>0</v>
      </c>
      <c r="L95" s="3">
        <v>0</v>
      </c>
      <c r="M95" s="3">
        <v>62</v>
      </c>
      <c r="N95" s="3" t="s">
        <v>105</v>
      </c>
      <c r="O95" s="3" t="s">
        <v>72</v>
      </c>
      <c r="P95" s="3" t="s">
        <v>37</v>
      </c>
      <c r="Q95" s="3">
        <v>18</v>
      </c>
      <c r="R95" s="3">
        <v>129479</v>
      </c>
      <c r="S95" s="3">
        <v>843</v>
      </c>
      <c r="T95" s="3" t="s">
        <v>45</v>
      </c>
      <c r="U95" s="3">
        <v>1</v>
      </c>
      <c r="V95" s="3">
        <v>5748</v>
      </c>
      <c r="W95" s="5" t="str">
        <f t="shared" si="4"/>
        <v>750+</v>
      </c>
      <c r="X95" s="5" t="str">
        <f t="shared" si="5"/>
        <v>High (51-75%)</v>
      </c>
      <c r="Y95" s="5" t="str">
        <f t="shared" si="6"/>
        <v>Employed</v>
      </c>
      <c r="Z95" s="3" t="str">
        <f t="shared" si="7"/>
        <v>Consumer &amp; Personal</v>
      </c>
    </row>
    <row r="96" spans="1:26" ht="17.399999999999999" x14ac:dyDescent="0.35">
      <c r="A96" s="3" t="s">
        <v>245</v>
      </c>
      <c r="B96" s="3" t="s">
        <v>246</v>
      </c>
      <c r="C96" s="4">
        <v>45766</v>
      </c>
      <c r="D96" s="3" t="s">
        <v>61</v>
      </c>
      <c r="E96" s="3">
        <v>36200</v>
      </c>
      <c r="F96" s="3">
        <v>48</v>
      </c>
      <c r="G96" s="3">
        <v>7.99</v>
      </c>
      <c r="H96" s="3">
        <v>883.58</v>
      </c>
      <c r="I96" s="3">
        <v>21.1</v>
      </c>
      <c r="J96" s="3" t="s">
        <v>48</v>
      </c>
      <c r="K96" s="3">
        <v>0</v>
      </c>
      <c r="L96" s="3">
        <v>0</v>
      </c>
      <c r="M96" s="3">
        <v>38</v>
      </c>
      <c r="N96" s="3" t="s">
        <v>36</v>
      </c>
      <c r="O96" s="3" t="s">
        <v>72</v>
      </c>
      <c r="P96" s="3" t="s">
        <v>37</v>
      </c>
      <c r="Q96" s="3">
        <v>15</v>
      </c>
      <c r="R96" s="3">
        <v>125137</v>
      </c>
      <c r="S96" s="3">
        <v>755</v>
      </c>
      <c r="T96" s="3" t="s">
        <v>38</v>
      </c>
      <c r="U96" s="3">
        <v>2</v>
      </c>
      <c r="V96" s="3">
        <v>1312</v>
      </c>
      <c r="W96" s="5" t="str">
        <f t="shared" si="4"/>
        <v>750+</v>
      </c>
      <c r="X96" s="5" t="str">
        <f t="shared" si="5"/>
        <v>Low (&lt;=35%)</v>
      </c>
      <c r="Y96" s="5" t="str">
        <f t="shared" si="6"/>
        <v>Employed</v>
      </c>
      <c r="Z96" s="3" t="str">
        <f t="shared" si="7"/>
        <v>Investment &amp; Growth</v>
      </c>
    </row>
    <row r="97" spans="1:26" ht="17.399999999999999" x14ac:dyDescent="0.35">
      <c r="A97" s="3" t="s">
        <v>247</v>
      </c>
      <c r="B97" s="3" t="s">
        <v>248</v>
      </c>
      <c r="C97" s="4">
        <v>45680</v>
      </c>
      <c r="D97" s="3" t="s">
        <v>31</v>
      </c>
      <c r="E97" s="3">
        <v>4900</v>
      </c>
      <c r="F97" s="3">
        <v>60</v>
      </c>
      <c r="G97" s="3">
        <v>10.19</v>
      </c>
      <c r="H97" s="3">
        <v>104.57</v>
      </c>
      <c r="I97" s="3">
        <v>45.4</v>
      </c>
      <c r="J97" s="3" t="s">
        <v>48</v>
      </c>
      <c r="K97" s="3">
        <v>0</v>
      </c>
      <c r="L97" s="3">
        <v>0</v>
      </c>
      <c r="M97" s="3">
        <v>58</v>
      </c>
      <c r="N97" s="3" t="s">
        <v>68</v>
      </c>
      <c r="O97" s="3" t="s">
        <v>72</v>
      </c>
      <c r="P97" s="3" t="s">
        <v>37</v>
      </c>
      <c r="Q97" s="3">
        <v>26</v>
      </c>
      <c r="R97" s="3">
        <v>75894</v>
      </c>
      <c r="S97" s="3">
        <v>820</v>
      </c>
      <c r="T97" s="3" t="s">
        <v>45</v>
      </c>
      <c r="U97" s="3">
        <v>2</v>
      </c>
      <c r="V97" s="3">
        <v>2769</v>
      </c>
      <c r="W97" s="5" t="str">
        <f t="shared" si="4"/>
        <v>750+</v>
      </c>
      <c r="X97" s="5" t="str">
        <f t="shared" si="5"/>
        <v>Manageable (36-50%)</v>
      </c>
      <c r="Y97" s="5" t="str">
        <f t="shared" si="6"/>
        <v>Employed</v>
      </c>
      <c r="Z97" s="3" t="str">
        <f t="shared" si="7"/>
        <v>Debt &amp; Assets</v>
      </c>
    </row>
    <row r="98" spans="1:26" ht="17.399999999999999" x14ac:dyDescent="0.35">
      <c r="A98" s="3" t="s">
        <v>249</v>
      </c>
      <c r="B98" s="3" t="s">
        <v>250</v>
      </c>
      <c r="C98" s="4">
        <v>45444</v>
      </c>
      <c r="D98" s="3" t="s">
        <v>56</v>
      </c>
      <c r="E98" s="3">
        <v>45400</v>
      </c>
      <c r="F98" s="3">
        <v>12</v>
      </c>
      <c r="G98" s="3">
        <v>11.14</v>
      </c>
      <c r="H98" s="3">
        <v>4015.49</v>
      </c>
      <c r="I98" s="3">
        <v>92.5</v>
      </c>
      <c r="J98" s="3" t="s">
        <v>99</v>
      </c>
      <c r="K98" s="3">
        <v>0</v>
      </c>
      <c r="L98" s="3">
        <v>0</v>
      </c>
      <c r="M98" s="3">
        <v>46</v>
      </c>
      <c r="N98" s="3" t="s">
        <v>49</v>
      </c>
      <c r="O98" s="3" t="s">
        <v>43</v>
      </c>
      <c r="P98" s="3" t="s">
        <v>37</v>
      </c>
      <c r="Q98" s="3">
        <v>9</v>
      </c>
      <c r="R98" s="3">
        <v>95478</v>
      </c>
      <c r="S98" s="3">
        <v>759</v>
      </c>
      <c r="T98" s="3" t="s">
        <v>45</v>
      </c>
      <c r="U98" s="3">
        <v>2</v>
      </c>
      <c r="V98" s="3">
        <v>3342</v>
      </c>
      <c r="W98" s="5" t="str">
        <f t="shared" si="4"/>
        <v>750+</v>
      </c>
      <c r="X98" s="5" t="str">
        <f t="shared" si="5"/>
        <v>Critical (&gt;75%)</v>
      </c>
      <c r="Y98" s="5" t="str">
        <f t="shared" si="6"/>
        <v>Employed</v>
      </c>
      <c r="Z98" s="3" t="str">
        <f t="shared" si="7"/>
        <v>Consumer &amp; Personal</v>
      </c>
    </row>
    <row r="99" spans="1:26" ht="17.399999999999999" x14ac:dyDescent="0.35">
      <c r="A99" s="3" t="s">
        <v>251</v>
      </c>
      <c r="B99" s="3" t="s">
        <v>252</v>
      </c>
      <c r="C99" s="4">
        <v>45603</v>
      </c>
      <c r="D99" s="3" t="s">
        <v>64</v>
      </c>
      <c r="E99" s="3">
        <v>17200</v>
      </c>
      <c r="F99" s="3">
        <v>60</v>
      </c>
      <c r="G99" s="3">
        <v>13.11</v>
      </c>
      <c r="H99" s="3">
        <v>392.32</v>
      </c>
      <c r="I99" s="3">
        <v>37.799999999999997</v>
      </c>
      <c r="J99" s="3" t="s">
        <v>99</v>
      </c>
      <c r="K99" s="3">
        <v>15</v>
      </c>
      <c r="L99" s="3">
        <v>0</v>
      </c>
      <c r="M99" s="3">
        <v>35</v>
      </c>
      <c r="N99" s="3" t="s">
        <v>213</v>
      </c>
      <c r="O99" s="3" t="s">
        <v>43</v>
      </c>
      <c r="P99" s="3" t="s">
        <v>37</v>
      </c>
      <c r="Q99" s="3">
        <v>5</v>
      </c>
      <c r="R99" s="3">
        <v>45779</v>
      </c>
      <c r="S99" s="3">
        <v>652</v>
      </c>
      <c r="T99" s="3" t="s">
        <v>45</v>
      </c>
      <c r="U99" s="3">
        <v>0</v>
      </c>
      <c r="V99" s="3">
        <v>1050</v>
      </c>
      <c r="W99" s="5" t="str">
        <f t="shared" si="4"/>
        <v>650-699</v>
      </c>
      <c r="X99" s="5" t="str">
        <f t="shared" si="5"/>
        <v>Manageable (36-50%)</v>
      </c>
      <c r="Y99" s="5" t="str">
        <f t="shared" si="6"/>
        <v>Employed</v>
      </c>
      <c r="Z99" s="3" t="str">
        <f t="shared" si="7"/>
        <v>Investment &amp; Growth</v>
      </c>
    </row>
    <row r="100" spans="1:26" ht="17.399999999999999" x14ac:dyDescent="0.35">
      <c r="A100" s="3" t="s">
        <v>253</v>
      </c>
      <c r="B100" s="3" t="s">
        <v>254</v>
      </c>
      <c r="C100" s="4">
        <v>45422</v>
      </c>
      <c r="D100" s="3" t="s">
        <v>61</v>
      </c>
      <c r="E100" s="3">
        <v>31400</v>
      </c>
      <c r="F100" s="3">
        <v>60</v>
      </c>
      <c r="G100" s="3">
        <v>10.79</v>
      </c>
      <c r="H100" s="3">
        <v>679.43</v>
      </c>
      <c r="I100" s="3">
        <v>58.2</v>
      </c>
      <c r="J100" s="3" t="s">
        <v>25</v>
      </c>
      <c r="K100" s="3">
        <v>0</v>
      </c>
      <c r="L100" s="3">
        <v>0</v>
      </c>
      <c r="M100" s="3">
        <v>60</v>
      </c>
      <c r="N100" s="3" t="s">
        <v>62</v>
      </c>
      <c r="O100" s="3" t="s">
        <v>43</v>
      </c>
      <c r="P100" s="3" t="s">
        <v>37</v>
      </c>
      <c r="Q100" s="3">
        <v>29</v>
      </c>
      <c r="R100" s="3">
        <v>58981</v>
      </c>
      <c r="S100" s="3">
        <v>674</v>
      </c>
      <c r="T100" s="3" t="s">
        <v>38</v>
      </c>
      <c r="U100" s="3">
        <v>3</v>
      </c>
      <c r="V100" s="3">
        <v>2181</v>
      </c>
      <c r="W100" s="5" t="str">
        <f t="shared" si="4"/>
        <v>650-699</v>
      </c>
      <c r="X100" s="5" t="str">
        <f t="shared" si="5"/>
        <v>High (51-75%)</v>
      </c>
      <c r="Y100" s="5" t="str">
        <f t="shared" si="6"/>
        <v>Employed</v>
      </c>
      <c r="Z100" s="3" t="str">
        <f t="shared" si="7"/>
        <v>Investment &amp; Growth</v>
      </c>
    </row>
    <row r="101" spans="1:26" ht="17.399999999999999" x14ac:dyDescent="0.35">
      <c r="A101" s="3" t="s">
        <v>255</v>
      </c>
      <c r="B101" s="3" t="s">
        <v>254</v>
      </c>
      <c r="C101" s="4">
        <v>45580</v>
      </c>
      <c r="D101" s="3" t="s">
        <v>67</v>
      </c>
      <c r="E101" s="3">
        <v>10800</v>
      </c>
      <c r="F101" s="3">
        <v>36</v>
      </c>
      <c r="G101" s="3">
        <v>9.32</v>
      </c>
      <c r="H101" s="3">
        <v>345.05</v>
      </c>
      <c r="I101" s="3">
        <v>51.4</v>
      </c>
      <c r="J101" s="3" t="s">
        <v>25</v>
      </c>
      <c r="K101" s="3">
        <v>0</v>
      </c>
      <c r="L101" s="3">
        <v>0</v>
      </c>
      <c r="M101" s="3">
        <v>60</v>
      </c>
      <c r="N101" s="3" t="s">
        <v>62</v>
      </c>
      <c r="O101" s="3" t="s">
        <v>43</v>
      </c>
      <c r="P101" s="3" t="s">
        <v>37</v>
      </c>
      <c r="Q101" s="3">
        <v>29</v>
      </c>
      <c r="R101" s="3">
        <v>58981</v>
      </c>
      <c r="S101" s="3">
        <v>674</v>
      </c>
      <c r="T101" s="3" t="s">
        <v>38</v>
      </c>
      <c r="U101" s="3">
        <v>3</v>
      </c>
      <c r="V101" s="3">
        <v>2181</v>
      </c>
      <c r="W101" s="5" t="str">
        <f t="shared" si="4"/>
        <v>650-699</v>
      </c>
      <c r="X101" s="5" t="str">
        <f t="shared" si="5"/>
        <v>High (51-75%)</v>
      </c>
      <c r="Y101" s="5" t="str">
        <f t="shared" si="6"/>
        <v>Employed</v>
      </c>
      <c r="Z101" s="3" t="str">
        <f t="shared" si="7"/>
        <v>Debt &amp; Assets</v>
      </c>
    </row>
    <row r="102" spans="1:26" ht="17.399999999999999" x14ac:dyDescent="0.35">
      <c r="A102" s="3" t="s">
        <v>256</v>
      </c>
      <c r="B102" s="3" t="s">
        <v>257</v>
      </c>
      <c r="C102" s="4">
        <v>45469</v>
      </c>
      <c r="D102" s="3" t="s">
        <v>52</v>
      </c>
      <c r="E102" s="3">
        <v>21500</v>
      </c>
      <c r="F102" s="3">
        <v>48</v>
      </c>
      <c r="G102" s="3">
        <v>12.93</v>
      </c>
      <c r="H102" s="3">
        <v>576.04</v>
      </c>
      <c r="I102" s="3">
        <v>59.3</v>
      </c>
      <c r="J102" s="3" t="s">
        <v>32</v>
      </c>
      <c r="K102" s="3">
        <v>78</v>
      </c>
      <c r="L102" s="3">
        <v>1</v>
      </c>
      <c r="M102" s="3">
        <v>62</v>
      </c>
      <c r="N102" s="3" t="s">
        <v>203</v>
      </c>
      <c r="O102" s="3" t="s">
        <v>43</v>
      </c>
      <c r="P102" s="3" t="s">
        <v>44</v>
      </c>
      <c r="Q102" s="3">
        <v>34</v>
      </c>
      <c r="R102" s="3">
        <v>53220</v>
      </c>
      <c r="S102" s="3">
        <v>588</v>
      </c>
      <c r="T102" s="3" t="s">
        <v>38</v>
      </c>
      <c r="U102" s="3">
        <v>3</v>
      </c>
      <c r="V102" s="3">
        <v>2054</v>
      </c>
      <c r="W102" s="5" t="str">
        <f t="shared" si="4"/>
        <v>520-599</v>
      </c>
      <c r="X102" s="5" t="str">
        <f t="shared" si="5"/>
        <v>High (51-75%)</v>
      </c>
      <c r="Y102" s="5" t="str">
        <f t="shared" si="6"/>
        <v>Employed</v>
      </c>
      <c r="Z102" s="3" t="str">
        <f t="shared" si="7"/>
        <v>Investment &amp; Growth</v>
      </c>
    </row>
    <row r="103" spans="1:26" ht="17.399999999999999" x14ac:dyDescent="0.35">
      <c r="A103" s="3" t="s">
        <v>258</v>
      </c>
      <c r="B103" s="3" t="s">
        <v>259</v>
      </c>
      <c r="C103" s="4">
        <v>45365</v>
      </c>
      <c r="D103" s="3" t="s">
        <v>52</v>
      </c>
      <c r="E103" s="3">
        <v>9400</v>
      </c>
      <c r="F103" s="3">
        <v>24</v>
      </c>
      <c r="G103" s="3">
        <v>6.99</v>
      </c>
      <c r="H103" s="3">
        <v>420.82</v>
      </c>
      <c r="I103" s="3">
        <v>51.6</v>
      </c>
      <c r="J103" s="3" t="s">
        <v>25</v>
      </c>
      <c r="K103" s="3">
        <v>0</v>
      </c>
      <c r="L103" s="3">
        <v>0</v>
      </c>
      <c r="M103" s="3">
        <v>26</v>
      </c>
      <c r="N103" s="3" t="s">
        <v>105</v>
      </c>
      <c r="O103" s="3" t="s">
        <v>27</v>
      </c>
      <c r="P103" s="3" t="s">
        <v>28</v>
      </c>
      <c r="Q103" s="3">
        <v>2</v>
      </c>
      <c r="R103" s="3">
        <v>43345</v>
      </c>
      <c r="S103" s="3">
        <v>821</v>
      </c>
      <c r="T103" s="3" t="s">
        <v>45</v>
      </c>
      <c r="U103" s="3">
        <v>2</v>
      </c>
      <c r="V103" s="3">
        <v>1444</v>
      </c>
      <c r="W103" s="5" t="str">
        <f t="shared" si="4"/>
        <v>750+</v>
      </c>
      <c r="X103" s="5" t="str">
        <f t="shared" si="5"/>
        <v>High (51-75%)</v>
      </c>
      <c r="Y103" s="5" t="str">
        <f t="shared" si="6"/>
        <v>Self-Employed</v>
      </c>
      <c r="Z103" s="3" t="str">
        <f t="shared" si="7"/>
        <v>Investment &amp; Growth</v>
      </c>
    </row>
    <row r="104" spans="1:26" ht="17.399999999999999" x14ac:dyDescent="0.35">
      <c r="A104" s="3" t="s">
        <v>260</v>
      </c>
      <c r="B104" s="3" t="s">
        <v>261</v>
      </c>
      <c r="C104" s="4">
        <v>45727</v>
      </c>
      <c r="D104" s="3" t="s">
        <v>56</v>
      </c>
      <c r="E104" s="3">
        <v>12500</v>
      </c>
      <c r="F104" s="3">
        <v>48</v>
      </c>
      <c r="G104" s="3">
        <v>15.13</v>
      </c>
      <c r="H104" s="3">
        <v>348.71</v>
      </c>
      <c r="I104" s="3">
        <v>18.7</v>
      </c>
      <c r="J104" s="3" t="s">
        <v>48</v>
      </c>
      <c r="K104" s="3">
        <v>0</v>
      </c>
      <c r="L104" s="3">
        <v>0</v>
      </c>
      <c r="M104" s="3">
        <v>39</v>
      </c>
      <c r="N104" s="3" t="s">
        <v>262</v>
      </c>
      <c r="O104" s="3" t="s">
        <v>43</v>
      </c>
      <c r="P104" s="3" t="s">
        <v>37</v>
      </c>
      <c r="Q104" s="3">
        <v>13</v>
      </c>
      <c r="R104" s="3">
        <v>45732</v>
      </c>
      <c r="S104" s="3">
        <v>550</v>
      </c>
      <c r="T104" s="3" t="s">
        <v>29</v>
      </c>
      <c r="U104" s="3">
        <v>0</v>
      </c>
      <c r="V104" s="3">
        <v>364</v>
      </c>
      <c r="W104" s="5" t="str">
        <f t="shared" si="4"/>
        <v>520-599</v>
      </c>
      <c r="X104" s="5" t="str">
        <f t="shared" si="5"/>
        <v>Low (&lt;=35%)</v>
      </c>
      <c r="Y104" s="5" t="str">
        <f t="shared" si="6"/>
        <v>Employed</v>
      </c>
      <c r="Z104" s="3" t="str">
        <f t="shared" si="7"/>
        <v>Consumer &amp; Personal</v>
      </c>
    </row>
    <row r="105" spans="1:26" ht="17.399999999999999" x14ac:dyDescent="0.35">
      <c r="A105" s="3" t="s">
        <v>263</v>
      </c>
      <c r="B105" s="3" t="s">
        <v>264</v>
      </c>
      <c r="C105" s="4">
        <v>45802</v>
      </c>
      <c r="D105" s="3" t="s">
        <v>31</v>
      </c>
      <c r="E105" s="3">
        <v>10900</v>
      </c>
      <c r="F105" s="3">
        <v>60</v>
      </c>
      <c r="G105" s="3">
        <v>8.84</v>
      </c>
      <c r="H105" s="3">
        <v>225.42</v>
      </c>
      <c r="I105" s="3">
        <v>41.2</v>
      </c>
      <c r="J105" s="3" t="s">
        <v>48</v>
      </c>
      <c r="K105" s="3">
        <v>0</v>
      </c>
      <c r="L105" s="3">
        <v>0</v>
      </c>
      <c r="M105" s="3">
        <v>65</v>
      </c>
      <c r="N105" s="3" t="s">
        <v>213</v>
      </c>
      <c r="O105" s="3" t="s">
        <v>72</v>
      </c>
      <c r="P105" s="3" t="s">
        <v>73</v>
      </c>
      <c r="Q105" s="3">
        <v>2</v>
      </c>
      <c r="R105" s="3">
        <v>74897</v>
      </c>
      <c r="S105" s="3">
        <v>672</v>
      </c>
      <c r="T105" s="3" t="s">
        <v>29</v>
      </c>
      <c r="U105" s="3">
        <v>1</v>
      </c>
      <c r="V105" s="3">
        <v>2345</v>
      </c>
      <c r="W105" s="5" t="str">
        <f t="shared" si="4"/>
        <v>650-699</v>
      </c>
      <c r="X105" s="5" t="str">
        <f t="shared" si="5"/>
        <v>Manageable (36-50%)</v>
      </c>
      <c r="Y105" s="5" t="str">
        <f t="shared" si="6"/>
        <v>Employed</v>
      </c>
      <c r="Z105" s="3" t="str">
        <f t="shared" si="7"/>
        <v>Debt &amp; Assets</v>
      </c>
    </row>
    <row r="106" spans="1:26" ht="17.399999999999999" x14ac:dyDescent="0.35">
      <c r="A106" s="3" t="s">
        <v>265</v>
      </c>
      <c r="B106" s="3" t="s">
        <v>264</v>
      </c>
      <c r="C106" s="4">
        <v>45786</v>
      </c>
      <c r="D106" s="3" t="s">
        <v>31</v>
      </c>
      <c r="E106" s="3">
        <v>29700</v>
      </c>
      <c r="F106" s="3">
        <v>12</v>
      </c>
      <c r="G106" s="3">
        <v>13.69</v>
      </c>
      <c r="H106" s="3">
        <v>2662.35</v>
      </c>
      <c r="I106" s="3">
        <v>80.2</v>
      </c>
      <c r="J106" s="3" t="s">
        <v>48</v>
      </c>
      <c r="K106" s="3">
        <v>0</v>
      </c>
      <c r="L106" s="3">
        <v>0</v>
      </c>
      <c r="M106" s="3">
        <v>65</v>
      </c>
      <c r="N106" s="3" t="s">
        <v>213</v>
      </c>
      <c r="O106" s="3" t="s">
        <v>72</v>
      </c>
      <c r="P106" s="3" t="s">
        <v>73</v>
      </c>
      <c r="Q106" s="3">
        <v>2</v>
      </c>
      <c r="R106" s="3">
        <v>74897</v>
      </c>
      <c r="S106" s="3">
        <v>672</v>
      </c>
      <c r="T106" s="3" t="s">
        <v>29</v>
      </c>
      <c r="U106" s="3">
        <v>1</v>
      </c>
      <c r="V106" s="3">
        <v>2345</v>
      </c>
      <c r="W106" s="5" t="str">
        <f t="shared" si="4"/>
        <v>650-699</v>
      </c>
      <c r="X106" s="5" t="str">
        <f t="shared" si="5"/>
        <v>Critical (&gt;75%)</v>
      </c>
      <c r="Y106" s="5" t="str">
        <f t="shared" si="6"/>
        <v>Employed</v>
      </c>
      <c r="Z106" s="3" t="str">
        <f t="shared" si="7"/>
        <v>Debt &amp; Assets</v>
      </c>
    </row>
    <row r="107" spans="1:26" ht="17.399999999999999" x14ac:dyDescent="0.35">
      <c r="A107" s="3" t="s">
        <v>266</v>
      </c>
      <c r="B107" s="3" t="s">
        <v>267</v>
      </c>
      <c r="C107" s="4">
        <v>45372</v>
      </c>
      <c r="D107" s="3" t="s">
        <v>56</v>
      </c>
      <c r="E107" s="3">
        <v>16200</v>
      </c>
      <c r="F107" s="3">
        <v>36</v>
      </c>
      <c r="G107" s="3">
        <v>9.39</v>
      </c>
      <c r="H107" s="3">
        <v>518.1</v>
      </c>
      <c r="I107" s="3">
        <v>63.7</v>
      </c>
      <c r="J107" s="3" t="s">
        <v>48</v>
      </c>
      <c r="K107" s="3">
        <v>0</v>
      </c>
      <c r="L107" s="3">
        <v>0</v>
      </c>
      <c r="M107" s="3">
        <v>39</v>
      </c>
      <c r="N107" s="3" t="s">
        <v>102</v>
      </c>
      <c r="O107" s="3" t="s">
        <v>27</v>
      </c>
      <c r="P107" s="3" t="s">
        <v>73</v>
      </c>
      <c r="Q107" s="3">
        <v>2</v>
      </c>
      <c r="R107" s="3">
        <v>24609</v>
      </c>
      <c r="S107" s="3">
        <v>776</v>
      </c>
      <c r="T107" s="3" t="s">
        <v>45</v>
      </c>
      <c r="U107" s="3">
        <v>1</v>
      </c>
      <c r="V107" s="3">
        <v>789</v>
      </c>
      <c r="W107" s="5" t="str">
        <f t="shared" si="4"/>
        <v>750+</v>
      </c>
      <c r="X107" s="5" t="str">
        <f t="shared" si="5"/>
        <v>High (51-75%)</v>
      </c>
      <c r="Y107" s="5" t="str">
        <f t="shared" si="6"/>
        <v>Employed</v>
      </c>
      <c r="Z107" s="3" t="str">
        <f t="shared" si="7"/>
        <v>Consumer &amp; Personal</v>
      </c>
    </row>
    <row r="108" spans="1:26" ht="17.399999999999999" x14ac:dyDescent="0.35">
      <c r="A108" s="3" t="s">
        <v>268</v>
      </c>
      <c r="B108" s="3" t="s">
        <v>269</v>
      </c>
      <c r="C108" s="4">
        <v>45346</v>
      </c>
      <c r="D108" s="3" t="s">
        <v>61</v>
      </c>
      <c r="E108" s="3">
        <v>26700</v>
      </c>
      <c r="F108" s="3">
        <v>60</v>
      </c>
      <c r="G108" s="3">
        <v>9.31</v>
      </c>
      <c r="H108" s="3">
        <v>558.27</v>
      </c>
      <c r="I108" s="3">
        <v>33.299999999999997</v>
      </c>
      <c r="J108" s="3" t="s">
        <v>48</v>
      </c>
      <c r="K108" s="3">
        <v>0</v>
      </c>
      <c r="L108" s="3">
        <v>0</v>
      </c>
      <c r="M108" s="3">
        <v>32</v>
      </c>
      <c r="N108" s="3" t="s">
        <v>105</v>
      </c>
      <c r="O108" s="3" t="s">
        <v>79</v>
      </c>
      <c r="P108" s="3" t="s">
        <v>28</v>
      </c>
      <c r="Q108" s="3">
        <v>12</v>
      </c>
      <c r="R108" s="3">
        <v>42715</v>
      </c>
      <c r="S108" s="3">
        <v>735</v>
      </c>
      <c r="T108" s="3" t="s">
        <v>45</v>
      </c>
      <c r="U108" s="3">
        <v>0</v>
      </c>
      <c r="V108" s="3">
        <v>627</v>
      </c>
      <c r="W108" s="5" t="str">
        <f t="shared" si="4"/>
        <v>700-749</v>
      </c>
      <c r="X108" s="5" t="str">
        <f t="shared" si="5"/>
        <v>Low (&lt;=35%)</v>
      </c>
      <c r="Y108" s="5" t="str">
        <f t="shared" si="6"/>
        <v>Self-Employed</v>
      </c>
      <c r="Z108" s="3" t="str">
        <f t="shared" si="7"/>
        <v>Investment &amp; Growth</v>
      </c>
    </row>
    <row r="109" spans="1:26" ht="17.399999999999999" x14ac:dyDescent="0.35">
      <c r="A109" s="3" t="s">
        <v>270</v>
      </c>
      <c r="B109" s="3" t="s">
        <v>271</v>
      </c>
      <c r="C109" s="4">
        <v>45593</v>
      </c>
      <c r="D109" s="3" t="s">
        <v>24</v>
      </c>
      <c r="E109" s="3">
        <v>17900</v>
      </c>
      <c r="F109" s="3">
        <v>36</v>
      </c>
      <c r="G109" s="3">
        <v>15.64</v>
      </c>
      <c r="H109" s="3">
        <v>626.13</v>
      </c>
      <c r="I109" s="3">
        <v>29.3</v>
      </c>
      <c r="J109" s="3" t="s">
        <v>32</v>
      </c>
      <c r="K109" s="3">
        <v>39</v>
      </c>
      <c r="L109" s="3">
        <v>1</v>
      </c>
      <c r="M109" s="3">
        <v>29</v>
      </c>
      <c r="N109" s="3" t="s">
        <v>49</v>
      </c>
      <c r="O109" s="3" t="s">
        <v>58</v>
      </c>
      <c r="P109" s="3" t="s">
        <v>37</v>
      </c>
      <c r="Q109" s="3">
        <v>8</v>
      </c>
      <c r="R109" s="3">
        <v>120275</v>
      </c>
      <c r="S109" s="3">
        <v>550</v>
      </c>
      <c r="T109" s="3" t="s">
        <v>45</v>
      </c>
      <c r="U109" s="3">
        <v>0</v>
      </c>
      <c r="V109" s="3">
        <v>2314</v>
      </c>
      <c r="W109" s="5" t="str">
        <f t="shared" si="4"/>
        <v>520-599</v>
      </c>
      <c r="X109" s="5" t="str">
        <f t="shared" si="5"/>
        <v>Low (&lt;=35%)</v>
      </c>
      <c r="Y109" s="5" t="str">
        <f t="shared" si="6"/>
        <v>Employed</v>
      </c>
      <c r="Z109" s="3" t="str">
        <f t="shared" si="7"/>
        <v>Consumer &amp; Personal</v>
      </c>
    </row>
    <row r="110" spans="1:26" ht="17.399999999999999" x14ac:dyDescent="0.35">
      <c r="A110" s="3" t="s">
        <v>272</v>
      </c>
      <c r="B110" s="3" t="s">
        <v>273</v>
      </c>
      <c r="C110" s="4">
        <v>45776</v>
      </c>
      <c r="D110" s="3" t="s">
        <v>77</v>
      </c>
      <c r="E110" s="3">
        <v>36900</v>
      </c>
      <c r="F110" s="3">
        <v>60</v>
      </c>
      <c r="G110" s="3">
        <v>7.79</v>
      </c>
      <c r="H110" s="3">
        <v>744.5</v>
      </c>
      <c r="I110" s="3">
        <v>45.9</v>
      </c>
      <c r="J110" s="3" t="s">
        <v>99</v>
      </c>
      <c r="K110" s="3">
        <v>0</v>
      </c>
      <c r="L110" s="3">
        <v>0</v>
      </c>
      <c r="M110" s="3">
        <v>53</v>
      </c>
      <c r="N110" s="3" t="s">
        <v>105</v>
      </c>
      <c r="O110" s="3" t="s">
        <v>43</v>
      </c>
      <c r="P110" s="3" t="s">
        <v>28</v>
      </c>
      <c r="Q110" s="3">
        <v>8</v>
      </c>
      <c r="R110" s="3">
        <v>53587</v>
      </c>
      <c r="S110" s="3">
        <v>811</v>
      </c>
      <c r="T110" s="3" t="s">
        <v>29</v>
      </c>
      <c r="U110" s="3">
        <v>3</v>
      </c>
      <c r="V110" s="3">
        <v>1305</v>
      </c>
      <c r="W110" s="5" t="str">
        <f t="shared" si="4"/>
        <v>750+</v>
      </c>
      <c r="X110" s="5" t="str">
        <f t="shared" si="5"/>
        <v>Manageable (36-50%)</v>
      </c>
      <c r="Y110" s="5" t="str">
        <f t="shared" si="6"/>
        <v>Self-Employed</v>
      </c>
      <c r="Z110" s="3" t="str">
        <f t="shared" si="7"/>
        <v>Consumer &amp; Personal</v>
      </c>
    </row>
    <row r="111" spans="1:26" ht="17.399999999999999" x14ac:dyDescent="0.35">
      <c r="A111" s="3" t="s">
        <v>274</v>
      </c>
      <c r="B111" s="3" t="s">
        <v>275</v>
      </c>
      <c r="C111" s="4">
        <v>45576</v>
      </c>
      <c r="D111" s="3" t="s">
        <v>77</v>
      </c>
      <c r="E111" s="3">
        <v>9100</v>
      </c>
      <c r="F111" s="3">
        <v>24</v>
      </c>
      <c r="G111" s="3">
        <v>12.34</v>
      </c>
      <c r="H111" s="3">
        <v>429.81</v>
      </c>
      <c r="I111" s="3">
        <v>26.5</v>
      </c>
      <c r="J111" s="3" t="s">
        <v>32</v>
      </c>
      <c r="K111" s="3">
        <v>101</v>
      </c>
      <c r="L111" s="3">
        <v>1</v>
      </c>
      <c r="M111" s="3">
        <v>23</v>
      </c>
      <c r="N111" s="3" t="s">
        <v>119</v>
      </c>
      <c r="O111" s="3" t="s">
        <v>58</v>
      </c>
      <c r="P111" s="3" t="s">
        <v>73</v>
      </c>
      <c r="Q111" s="3">
        <v>2</v>
      </c>
      <c r="R111" s="3">
        <v>50328</v>
      </c>
      <c r="S111" s="3">
        <v>611</v>
      </c>
      <c r="T111" s="3" t="s">
        <v>45</v>
      </c>
      <c r="U111" s="3">
        <v>1</v>
      </c>
      <c r="V111" s="3">
        <v>680</v>
      </c>
      <c r="W111" s="5" t="str">
        <f t="shared" si="4"/>
        <v>600-649</v>
      </c>
      <c r="X111" s="5" t="str">
        <f t="shared" si="5"/>
        <v>Low (&lt;=35%)</v>
      </c>
      <c r="Y111" s="5" t="str">
        <f t="shared" si="6"/>
        <v>Employed</v>
      </c>
      <c r="Z111" s="3" t="str">
        <f t="shared" si="7"/>
        <v>Consumer &amp; Personal</v>
      </c>
    </row>
    <row r="112" spans="1:26" ht="17.399999999999999" x14ac:dyDescent="0.35">
      <c r="A112" s="3" t="s">
        <v>276</v>
      </c>
      <c r="B112" s="3" t="s">
        <v>277</v>
      </c>
      <c r="C112" s="4">
        <v>45446</v>
      </c>
      <c r="D112" s="3" t="s">
        <v>41</v>
      </c>
      <c r="E112" s="3">
        <v>5100</v>
      </c>
      <c r="F112" s="3">
        <v>24</v>
      </c>
      <c r="G112" s="3">
        <v>11.3</v>
      </c>
      <c r="H112" s="3">
        <v>238.41</v>
      </c>
      <c r="I112" s="3">
        <v>32.200000000000003</v>
      </c>
      <c r="J112" s="3" t="s">
        <v>48</v>
      </c>
      <c r="K112" s="3">
        <v>0</v>
      </c>
      <c r="L112" s="3">
        <v>0</v>
      </c>
      <c r="M112" s="3">
        <v>29</v>
      </c>
      <c r="N112" s="3" t="s">
        <v>42</v>
      </c>
      <c r="O112" s="3" t="s">
        <v>43</v>
      </c>
      <c r="P112" s="3" t="s">
        <v>37</v>
      </c>
      <c r="Q112" s="3">
        <v>4</v>
      </c>
      <c r="R112" s="3">
        <v>93690</v>
      </c>
      <c r="S112" s="3">
        <v>795</v>
      </c>
      <c r="T112" s="3" t="s">
        <v>45</v>
      </c>
      <c r="U112" s="3">
        <v>1</v>
      </c>
      <c r="V112" s="3">
        <v>2273</v>
      </c>
      <c r="W112" s="5" t="str">
        <f t="shared" si="4"/>
        <v>750+</v>
      </c>
      <c r="X112" s="5" t="str">
        <f t="shared" si="5"/>
        <v>Low (&lt;=35%)</v>
      </c>
      <c r="Y112" s="5" t="str">
        <f t="shared" si="6"/>
        <v>Employed</v>
      </c>
      <c r="Z112" s="3" t="str">
        <f t="shared" si="7"/>
        <v>Debt &amp; Assets</v>
      </c>
    </row>
    <row r="113" spans="1:26" ht="17.399999999999999" x14ac:dyDescent="0.35">
      <c r="A113" s="3" t="s">
        <v>278</v>
      </c>
      <c r="B113" s="3" t="s">
        <v>279</v>
      </c>
      <c r="C113" s="4">
        <v>45378</v>
      </c>
      <c r="D113" s="3" t="s">
        <v>64</v>
      </c>
      <c r="E113" s="3">
        <v>18700</v>
      </c>
      <c r="F113" s="3">
        <v>12</v>
      </c>
      <c r="G113" s="3">
        <v>7.86</v>
      </c>
      <c r="H113" s="3">
        <v>1625.47</v>
      </c>
      <c r="I113" s="3">
        <v>94.1</v>
      </c>
      <c r="J113" s="3" t="s">
        <v>25</v>
      </c>
      <c r="K113" s="3">
        <v>0</v>
      </c>
      <c r="L113" s="3">
        <v>0</v>
      </c>
      <c r="M113" s="3">
        <v>52</v>
      </c>
      <c r="N113" s="3" t="s">
        <v>203</v>
      </c>
      <c r="O113" s="3" t="s">
        <v>79</v>
      </c>
      <c r="P113" s="3" t="s">
        <v>73</v>
      </c>
      <c r="Q113" s="3">
        <v>32</v>
      </c>
      <c r="R113" s="3">
        <v>25916</v>
      </c>
      <c r="S113" s="3">
        <v>831</v>
      </c>
      <c r="T113" s="3" t="s">
        <v>29</v>
      </c>
      <c r="U113" s="3">
        <v>3</v>
      </c>
      <c r="V113" s="3">
        <v>406</v>
      </c>
      <c r="W113" s="5" t="str">
        <f t="shared" si="4"/>
        <v>750+</v>
      </c>
      <c r="X113" s="5" t="str">
        <f t="shared" si="5"/>
        <v>Critical (&gt;75%)</v>
      </c>
      <c r="Y113" s="5" t="str">
        <f t="shared" si="6"/>
        <v>Employed</v>
      </c>
      <c r="Z113" s="3" t="str">
        <f t="shared" si="7"/>
        <v>Investment &amp; Growth</v>
      </c>
    </row>
    <row r="114" spans="1:26" ht="17.399999999999999" x14ac:dyDescent="0.35">
      <c r="A114" s="3" t="s">
        <v>280</v>
      </c>
      <c r="B114" s="3" t="s">
        <v>281</v>
      </c>
      <c r="C114" s="4">
        <v>45463</v>
      </c>
      <c r="D114" s="3" t="s">
        <v>31</v>
      </c>
      <c r="E114" s="3">
        <v>13400</v>
      </c>
      <c r="F114" s="3">
        <v>48</v>
      </c>
      <c r="G114" s="3">
        <v>14.78</v>
      </c>
      <c r="H114" s="3">
        <v>371.44</v>
      </c>
      <c r="I114" s="3">
        <v>65.599999999999994</v>
      </c>
      <c r="J114" s="3" t="s">
        <v>32</v>
      </c>
      <c r="K114" s="3">
        <v>118</v>
      </c>
      <c r="L114" s="3">
        <v>1</v>
      </c>
      <c r="M114" s="3">
        <v>48</v>
      </c>
      <c r="N114" s="3" t="s">
        <v>57</v>
      </c>
      <c r="O114" s="3" t="s">
        <v>79</v>
      </c>
      <c r="P114" s="3" t="s">
        <v>28</v>
      </c>
      <c r="Q114" s="3">
        <v>9</v>
      </c>
      <c r="R114" s="3">
        <v>41743</v>
      </c>
      <c r="S114" s="3">
        <v>531</v>
      </c>
      <c r="T114" s="3" t="s">
        <v>29</v>
      </c>
      <c r="U114" s="3">
        <v>2</v>
      </c>
      <c r="V114" s="3">
        <v>1911</v>
      </c>
      <c r="W114" s="5" t="str">
        <f t="shared" si="4"/>
        <v>520-599</v>
      </c>
      <c r="X114" s="5" t="str">
        <f t="shared" si="5"/>
        <v>High (51-75%)</v>
      </c>
      <c r="Y114" s="5" t="str">
        <f t="shared" si="6"/>
        <v>Self-Employed</v>
      </c>
      <c r="Z114" s="3" t="str">
        <f t="shared" si="7"/>
        <v>Debt &amp; Assets</v>
      </c>
    </row>
    <row r="115" spans="1:26" ht="17.399999999999999" x14ac:dyDescent="0.35">
      <c r="A115" s="3" t="s">
        <v>282</v>
      </c>
      <c r="B115" s="3" t="s">
        <v>281</v>
      </c>
      <c r="C115" s="4">
        <v>45767</v>
      </c>
      <c r="D115" s="3" t="s">
        <v>67</v>
      </c>
      <c r="E115" s="3">
        <v>34300</v>
      </c>
      <c r="F115" s="3">
        <v>12</v>
      </c>
      <c r="G115" s="3">
        <v>11.41</v>
      </c>
      <c r="H115" s="3">
        <v>3038.05</v>
      </c>
      <c r="I115" s="3">
        <v>142.30000000000001</v>
      </c>
      <c r="J115" s="3" t="s">
        <v>32</v>
      </c>
      <c r="K115" s="3">
        <v>107</v>
      </c>
      <c r="L115" s="3">
        <v>1</v>
      </c>
      <c r="M115" s="3">
        <v>48</v>
      </c>
      <c r="N115" s="3" t="s">
        <v>57</v>
      </c>
      <c r="O115" s="3" t="s">
        <v>79</v>
      </c>
      <c r="P115" s="3" t="s">
        <v>28</v>
      </c>
      <c r="Q115" s="3">
        <v>9</v>
      </c>
      <c r="R115" s="3">
        <v>41743</v>
      </c>
      <c r="S115" s="3">
        <v>531</v>
      </c>
      <c r="T115" s="3" t="s">
        <v>29</v>
      </c>
      <c r="U115" s="3">
        <v>2</v>
      </c>
      <c r="V115" s="3">
        <v>1911</v>
      </c>
      <c r="W115" s="5" t="str">
        <f t="shared" si="4"/>
        <v>520-599</v>
      </c>
      <c r="X115" s="5" t="str">
        <f t="shared" si="5"/>
        <v>Critical (&gt;75%)</v>
      </c>
      <c r="Y115" s="5" t="str">
        <f t="shared" si="6"/>
        <v>Self-Employed</v>
      </c>
      <c r="Z115" s="3" t="str">
        <f t="shared" si="7"/>
        <v>Debt &amp; Assets</v>
      </c>
    </row>
    <row r="116" spans="1:26" ht="17.399999999999999" x14ac:dyDescent="0.35">
      <c r="A116" s="3" t="s">
        <v>283</v>
      </c>
      <c r="B116" s="3" t="s">
        <v>284</v>
      </c>
      <c r="C116" s="4">
        <v>45440</v>
      </c>
      <c r="D116" s="3" t="s">
        <v>35</v>
      </c>
      <c r="E116" s="3">
        <v>34800</v>
      </c>
      <c r="F116" s="3">
        <v>48</v>
      </c>
      <c r="G116" s="3">
        <v>10.54</v>
      </c>
      <c r="H116" s="3">
        <v>891.67</v>
      </c>
      <c r="I116" s="3">
        <v>65.2</v>
      </c>
      <c r="J116" s="3" t="s">
        <v>48</v>
      </c>
      <c r="K116" s="3">
        <v>0</v>
      </c>
      <c r="L116" s="3">
        <v>0</v>
      </c>
      <c r="M116" s="3">
        <v>53</v>
      </c>
      <c r="N116" s="3" t="s">
        <v>128</v>
      </c>
      <c r="O116" s="3" t="s">
        <v>72</v>
      </c>
      <c r="P116" s="3" t="s">
        <v>37</v>
      </c>
      <c r="Q116" s="3">
        <v>24</v>
      </c>
      <c r="R116" s="3">
        <v>96156</v>
      </c>
      <c r="S116" s="3">
        <v>710</v>
      </c>
      <c r="T116" s="3" t="s">
        <v>45</v>
      </c>
      <c r="U116" s="3">
        <v>3</v>
      </c>
      <c r="V116" s="3">
        <v>4330</v>
      </c>
      <c r="W116" s="5" t="str">
        <f t="shared" si="4"/>
        <v>700-749</v>
      </c>
      <c r="X116" s="5" t="str">
        <f t="shared" si="5"/>
        <v>High (51-75%)</v>
      </c>
      <c r="Y116" s="5" t="str">
        <f t="shared" si="6"/>
        <v>Employed</v>
      </c>
      <c r="Z116" s="3" t="str">
        <f t="shared" si="7"/>
        <v>Consumer &amp; Personal</v>
      </c>
    </row>
    <row r="117" spans="1:26" ht="17.399999999999999" x14ac:dyDescent="0.35">
      <c r="A117" s="3" t="s">
        <v>285</v>
      </c>
      <c r="B117" s="3" t="s">
        <v>286</v>
      </c>
      <c r="C117" s="4">
        <v>45836</v>
      </c>
      <c r="D117" s="3" t="s">
        <v>31</v>
      </c>
      <c r="E117" s="3">
        <v>48200</v>
      </c>
      <c r="F117" s="3">
        <v>12</v>
      </c>
      <c r="G117" s="3">
        <v>11.12</v>
      </c>
      <c r="H117" s="3">
        <v>4262.6899999999996</v>
      </c>
      <c r="I117" s="3">
        <v>80.8</v>
      </c>
      <c r="J117" s="3" t="s">
        <v>99</v>
      </c>
      <c r="K117" s="3">
        <v>30</v>
      </c>
      <c r="L117" s="3">
        <v>0</v>
      </c>
      <c r="M117" s="3">
        <v>37</v>
      </c>
      <c r="N117" s="3" t="s">
        <v>172</v>
      </c>
      <c r="O117" s="3" t="s">
        <v>43</v>
      </c>
      <c r="P117" s="3" t="s">
        <v>37</v>
      </c>
      <c r="Q117" s="3">
        <v>10</v>
      </c>
      <c r="R117" s="3">
        <v>90079</v>
      </c>
      <c r="S117" s="3">
        <v>562</v>
      </c>
      <c r="T117" s="3" t="s">
        <v>29</v>
      </c>
      <c r="U117" s="3">
        <v>3</v>
      </c>
      <c r="V117" s="3">
        <v>1806</v>
      </c>
      <c r="W117" s="5" t="str">
        <f t="shared" si="4"/>
        <v>520-599</v>
      </c>
      <c r="X117" s="5" t="str">
        <f t="shared" si="5"/>
        <v>Critical (&gt;75%)</v>
      </c>
      <c r="Y117" s="5" t="str">
        <f t="shared" si="6"/>
        <v>Employed</v>
      </c>
      <c r="Z117" s="3" t="str">
        <f t="shared" si="7"/>
        <v>Debt &amp; Assets</v>
      </c>
    </row>
    <row r="118" spans="1:26" ht="17.399999999999999" x14ac:dyDescent="0.35">
      <c r="A118" s="3" t="s">
        <v>287</v>
      </c>
      <c r="B118" s="3" t="s">
        <v>288</v>
      </c>
      <c r="C118" s="4">
        <v>45692</v>
      </c>
      <c r="D118" s="3" t="s">
        <v>41</v>
      </c>
      <c r="E118" s="3">
        <v>14100</v>
      </c>
      <c r="F118" s="3">
        <v>12</v>
      </c>
      <c r="G118" s="3">
        <v>12.06</v>
      </c>
      <c r="H118" s="3">
        <v>1253.1600000000001</v>
      </c>
      <c r="I118" s="3">
        <v>32.200000000000003</v>
      </c>
      <c r="J118" s="3" t="s">
        <v>48</v>
      </c>
      <c r="K118" s="3">
        <v>0</v>
      </c>
      <c r="L118" s="3">
        <v>0</v>
      </c>
      <c r="M118" s="3">
        <v>64</v>
      </c>
      <c r="N118" s="3" t="s">
        <v>167</v>
      </c>
      <c r="O118" s="3" t="s">
        <v>72</v>
      </c>
      <c r="P118" s="3" t="s">
        <v>28</v>
      </c>
      <c r="Q118" s="3">
        <v>8</v>
      </c>
      <c r="R118" s="3">
        <v>67650</v>
      </c>
      <c r="S118" s="3">
        <v>553</v>
      </c>
      <c r="T118" s="3" t="s">
        <v>45</v>
      </c>
      <c r="U118" s="3">
        <v>1</v>
      </c>
      <c r="V118" s="3">
        <v>564</v>
      </c>
      <c r="W118" s="5" t="str">
        <f t="shared" si="4"/>
        <v>520-599</v>
      </c>
      <c r="X118" s="5" t="str">
        <f t="shared" si="5"/>
        <v>Low (&lt;=35%)</v>
      </c>
      <c r="Y118" s="5" t="str">
        <f t="shared" si="6"/>
        <v>Self-Employed</v>
      </c>
      <c r="Z118" s="3" t="str">
        <f t="shared" si="7"/>
        <v>Debt &amp; Assets</v>
      </c>
    </row>
    <row r="119" spans="1:26" ht="17.399999999999999" x14ac:dyDescent="0.35">
      <c r="A119" s="3" t="s">
        <v>289</v>
      </c>
      <c r="B119" s="3" t="s">
        <v>288</v>
      </c>
      <c r="C119" s="4">
        <v>45302</v>
      </c>
      <c r="D119" s="3" t="s">
        <v>77</v>
      </c>
      <c r="E119" s="3">
        <v>27000</v>
      </c>
      <c r="F119" s="3">
        <v>24</v>
      </c>
      <c r="G119" s="3">
        <v>12.35</v>
      </c>
      <c r="H119" s="3">
        <v>1275.4000000000001</v>
      </c>
      <c r="I119" s="3">
        <v>32.6</v>
      </c>
      <c r="J119" s="3" t="s">
        <v>48</v>
      </c>
      <c r="K119" s="3">
        <v>0</v>
      </c>
      <c r="L119" s="3">
        <v>0</v>
      </c>
      <c r="M119" s="3">
        <v>64</v>
      </c>
      <c r="N119" s="3" t="s">
        <v>167</v>
      </c>
      <c r="O119" s="3" t="s">
        <v>72</v>
      </c>
      <c r="P119" s="3" t="s">
        <v>28</v>
      </c>
      <c r="Q119" s="3">
        <v>8</v>
      </c>
      <c r="R119" s="3">
        <v>67650</v>
      </c>
      <c r="S119" s="3">
        <v>553</v>
      </c>
      <c r="T119" s="3" t="s">
        <v>45</v>
      </c>
      <c r="U119" s="3">
        <v>1</v>
      </c>
      <c r="V119" s="3">
        <v>564</v>
      </c>
      <c r="W119" s="5" t="str">
        <f t="shared" si="4"/>
        <v>520-599</v>
      </c>
      <c r="X119" s="5" t="str">
        <f t="shared" si="5"/>
        <v>Low (&lt;=35%)</v>
      </c>
      <c r="Y119" s="5" t="str">
        <f t="shared" si="6"/>
        <v>Self-Employed</v>
      </c>
      <c r="Z119" s="3" t="str">
        <f t="shared" si="7"/>
        <v>Consumer &amp; Personal</v>
      </c>
    </row>
    <row r="120" spans="1:26" ht="17.399999999999999" x14ac:dyDescent="0.35">
      <c r="A120" s="3" t="s">
        <v>290</v>
      </c>
      <c r="B120" s="3" t="s">
        <v>291</v>
      </c>
      <c r="C120" s="4">
        <v>45326</v>
      </c>
      <c r="D120" s="3" t="s">
        <v>61</v>
      </c>
      <c r="E120" s="3">
        <v>10300</v>
      </c>
      <c r="F120" s="3">
        <v>36</v>
      </c>
      <c r="G120" s="3">
        <v>11.29</v>
      </c>
      <c r="H120" s="3">
        <v>338.63</v>
      </c>
      <c r="I120" s="3">
        <v>61.8</v>
      </c>
      <c r="J120" s="3" t="s">
        <v>32</v>
      </c>
      <c r="K120" s="3">
        <v>53</v>
      </c>
      <c r="L120" s="3">
        <v>1</v>
      </c>
      <c r="M120" s="3">
        <v>50</v>
      </c>
      <c r="N120" s="3" t="s">
        <v>203</v>
      </c>
      <c r="O120" s="3" t="s">
        <v>27</v>
      </c>
      <c r="P120" s="3" t="s">
        <v>44</v>
      </c>
      <c r="Q120" s="3">
        <v>13</v>
      </c>
      <c r="R120" s="3">
        <v>22940</v>
      </c>
      <c r="S120" s="3">
        <v>598</v>
      </c>
      <c r="T120" s="3" t="s">
        <v>29</v>
      </c>
      <c r="U120" s="3">
        <v>0</v>
      </c>
      <c r="V120" s="3">
        <v>842</v>
      </c>
      <c r="W120" s="5" t="str">
        <f t="shared" si="4"/>
        <v>520-599</v>
      </c>
      <c r="X120" s="5" t="str">
        <f t="shared" si="5"/>
        <v>High (51-75%)</v>
      </c>
      <c r="Y120" s="5" t="str">
        <f t="shared" si="6"/>
        <v>Employed</v>
      </c>
      <c r="Z120" s="3" t="str">
        <f t="shared" si="7"/>
        <v>Investment &amp; Growth</v>
      </c>
    </row>
    <row r="121" spans="1:26" ht="17.399999999999999" x14ac:dyDescent="0.35">
      <c r="A121" s="3" t="s">
        <v>292</v>
      </c>
      <c r="B121" s="3" t="s">
        <v>293</v>
      </c>
      <c r="C121" s="4">
        <v>45414</v>
      </c>
      <c r="D121" s="3" t="s">
        <v>77</v>
      </c>
      <c r="E121" s="3">
        <v>42100</v>
      </c>
      <c r="F121" s="3">
        <v>60</v>
      </c>
      <c r="G121" s="3">
        <v>11.56</v>
      </c>
      <c r="H121" s="3">
        <v>927.16</v>
      </c>
      <c r="I121" s="3">
        <v>68.099999999999994</v>
      </c>
      <c r="J121" s="3" t="s">
        <v>32</v>
      </c>
      <c r="K121" s="3">
        <v>63</v>
      </c>
      <c r="L121" s="3">
        <v>1</v>
      </c>
      <c r="M121" s="3">
        <v>38</v>
      </c>
      <c r="N121" s="3" t="s">
        <v>128</v>
      </c>
      <c r="O121" s="3" t="s">
        <v>79</v>
      </c>
      <c r="P121" s="3" t="s">
        <v>28</v>
      </c>
      <c r="Q121" s="3">
        <v>17</v>
      </c>
      <c r="R121" s="3">
        <v>59422</v>
      </c>
      <c r="S121" s="3">
        <v>698</v>
      </c>
      <c r="T121" s="3" t="s">
        <v>45</v>
      </c>
      <c r="U121" s="3">
        <v>2</v>
      </c>
      <c r="V121" s="3">
        <v>2444</v>
      </c>
      <c r="W121" s="5" t="str">
        <f t="shared" si="4"/>
        <v>650-699</v>
      </c>
      <c r="X121" s="5" t="str">
        <f t="shared" si="5"/>
        <v>High (51-75%)</v>
      </c>
      <c r="Y121" s="5" t="str">
        <f t="shared" si="6"/>
        <v>Self-Employed</v>
      </c>
      <c r="Z121" s="3" t="str">
        <f t="shared" si="7"/>
        <v>Consumer &amp; Personal</v>
      </c>
    </row>
    <row r="122" spans="1:26" ht="17.399999999999999" x14ac:dyDescent="0.35">
      <c r="A122" s="3" t="s">
        <v>294</v>
      </c>
      <c r="B122" s="3" t="s">
        <v>295</v>
      </c>
      <c r="C122" s="4">
        <v>45551</v>
      </c>
      <c r="D122" s="3" t="s">
        <v>77</v>
      </c>
      <c r="E122" s="3">
        <v>10900</v>
      </c>
      <c r="F122" s="3">
        <v>12</v>
      </c>
      <c r="G122" s="3">
        <v>9.31</v>
      </c>
      <c r="H122" s="3">
        <v>954.79</v>
      </c>
      <c r="I122" s="3">
        <v>72.8</v>
      </c>
      <c r="J122" s="3" t="s">
        <v>48</v>
      </c>
      <c r="K122" s="3">
        <v>0</v>
      </c>
      <c r="L122" s="3">
        <v>0</v>
      </c>
      <c r="M122" s="3">
        <v>53</v>
      </c>
      <c r="N122" s="3" t="s">
        <v>89</v>
      </c>
      <c r="O122" s="3" t="s">
        <v>72</v>
      </c>
      <c r="P122" s="3" t="s">
        <v>37</v>
      </c>
      <c r="Q122" s="3">
        <v>18</v>
      </c>
      <c r="R122" s="3">
        <v>60470</v>
      </c>
      <c r="S122" s="3">
        <v>850</v>
      </c>
      <c r="T122" s="3" t="s">
        <v>29</v>
      </c>
      <c r="U122" s="3">
        <v>0</v>
      </c>
      <c r="V122" s="3">
        <v>2716</v>
      </c>
      <c r="W122" s="5" t="str">
        <f t="shared" si="4"/>
        <v>750+</v>
      </c>
      <c r="X122" s="5" t="str">
        <f t="shared" si="5"/>
        <v>High (51-75%)</v>
      </c>
      <c r="Y122" s="5" t="str">
        <f t="shared" si="6"/>
        <v>Employed</v>
      </c>
      <c r="Z122" s="3" t="str">
        <f t="shared" si="7"/>
        <v>Consumer &amp; Personal</v>
      </c>
    </row>
    <row r="123" spans="1:26" ht="17.399999999999999" x14ac:dyDescent="0.35">
      <c r="A123" s="3" t="s">
        <v>296</v>
      </c>
      <c r="B123" s="3" t="s">
        <v>297</v>
      </c>
      <c r="C123" s="4">
        <v>45367</v>
      </c>
      <c r="D123" s="3" t="s">
        <v>41</v>
      </c>
      <c r="E123" s="3">
        <v>35200</v>
      </c>
      <c r="F123" s="3">
        <v>36</v>
      </c>
      <c r="G123" s="3">
        <v>9.82</v>
      </c>
      <c r="H123" s="3">
        <v>1132.83</v>
      </c>
      <c r="I123" s="3">
        <v>42.6</v>
      </c>
      <c r="J123" s="3" t="s">
        <v>32</v>
      </c>
      <c r="K123" s="3">
        <v>45</v>
      </c>
      <c r="L123" s="3">
        <v>1</v>
      </c>
      <c r="M123" s="3">
        <v>62</v>
      </c>
      <c r="N123" s="3" t="s">
        <v>68</v>
      </c>
      <c r="O123" s="3" t="s">
        <v>72</v>
      </c>
      <c r="P123" s="3" t="s">
        <v>37</v>
      </c>
      <c r="Q123" s="3">
        <v>1</v>
      </c>
      <c r="R123" s="3">
        <v>68874</v>
      </c>
      <c r="S123" s="3">
        <v>688</v>
      </c>
      <c r="T123" s="3" t="s">
        <v>38</v>
      </c>
      <c r="U123" s="3">
        <v>0</v>
      </c>
      <c r="V123" s="3">
        <v>1315</v>
      </c>
      <c r="W123" s="5" t="str">
        <f t="shared" si="4"/>
        <v>650-699</v>
      </c>
      <c r="X123" s="5" t="str">
        <f t="shared" si="5"/>
        <v>Manageable (36-50%)</v>
      </c>
      <c r="Y123" s="5" t="str">
        <f t="shared" si="6"/>
        <v>Employed</v>
      </c>
      <c r="Z123" s="3" t="str">
        <f t="shared" si="7"/>
        <v>Debt &amp; Assets</v>
      </c>
    </row>
    <row r="124" spans="1:26" ht="17.399999999999999" x14ac:dyDescent="0.35">
      <c r="A124" s="3" t="s">
        <v>298</v>
      </c>
      <c r="B124" s="3" t="s">
        <v>299</v>
      </c>
      <c r="C124" s="4">
        <v>45363</v>
      </c>
      <c r="D124" s="3" t="s">
        <v>52</v>
      </c>
      <c r="E124" s="3">
        <v>14400</v>
      </c>
      <c r="F124" s="3">
        <v>36</v>
      </c>
      <c r="G124" s="3">
        <v>10.52</v>
      </c>
      <c r="H124" s="3">
        <v>468.17</v>
      </c>
      <c r="I124" s="3">
        <v>49.3</v>
      </c>
      <c r="J124" s="3" t="s">
        <v>99</v>
      </c>
      <c r="K124" s="3">
        <v>15</v>
      </c>
      <c r="L124" s="3">
        <v>0</v>
      </c>
      <c r="M124" s="3">
        <v>49</v>
      </c>
      <c r="N124" s="3" t="s">
        <v>262</v>
      </c>
      <c r="O124" s="3" t="s">
        <v>27</v>
      </c>
      <c r="P124" s="3" t="s">
        <v>37</v>
      </c>
      <c r="Q124" s="3">
        <v>5</v>
      </c>
      <c r="R124" s="3">
        <v>42320</v>
      </c>
      <c r="S124" s="3">
        <v>622</v>
      </c>
      <c r="T124" s="3" t="s">
        <v>38</v>
      </c>
      <c r="U124" s="3">
        <v>3</v>
      </c>
      <c r="V124" s="3">
        <v>1269</v>
      </c>
      <c r="W124" s="5" t="str">
        <f t="shared" si="4"/>
        <v>600-649</v>
      </c>
      <c r="X124" s="5" t="str">
        <f t="shared" si="5"/>
        <v>Manageable (36-50%)</v>
      </c>
      <c r="Y124" s="5" t="str">
        <f t="shared" si="6"/>
        <v>Employed</v>
      </c>
      <c r="Z124" s="3" t="str">
        <f t="shared" si="7"/>
        <v>Investment &amp; Growth</v>
      </c>
    </row>
    <row r="125" spans="1:26" ht="17.399999999999999" x14ac:dyDescent="0.35">
      <c r="A125" s="3" t="s">
        <v>300</v>
      </c>
      <c r="B125" s="3" t="s">
        <v>301</v>
      </c>
      <c r="C125" s="4">
        <v>45400</v>
      </c>
      <c r="D125" s="3" t="s">
        <v>24</v>
      </c>
      <c r="E125" s="3">
        <v>8000</v>
      </c>
      <c r="F125" s="3">
        <v>48</v>
      </c>
      <c r="G125" s="3">
        <v>6.93</v>
      </c>
      <c r="H125" s="3">
        <v>191.31</v>
      </c>
      <c r="I125" s="3">
        <v>52.7</v>
      </c>
      <c r="J125" s="3" t="s">
        <v>48</v>
      </c>
      <c r="K125" s="3">
        <v>0</v>
      </c>
      <c r="L125" s="3">
        <v>0</v>
      </c>
      <c r="M125" s="3">
        <v>37</v>
      </c>
      <c r="N125" s="3" t="s">
        <v>135</v>
      </c>
      <c r="O125" s="3" t="s">
        <v>43</v>
      </c>
      <c r="P125" s="3" t="s">
        <v>73</v>
      </c>
      <c r="Q125" s="3">
        <v>8</v>
      </c>
      <c r="R125" s="3">
        <v>30477</v>
      </c>
      <c r="S125" s="3">
        <v>850</v>
      </c>
      <c r="T125" s="3" t="s">
        <v>45</v>
      </c>
      <c r="U125" s="3">
        <v>0</v>
      </c>
      <c r="V125" s="3">
        <v>1148</v>
      </c>
      <c r="W125" s="5" t="str">
        <f t="shared" si="4"/>
        <v>750+</v>
      </c>
      <c r="X125" s="5" t="str">
        <f t="shared" si="5"/>
        <v>High (51-75%)</v>
      </c>
      <c r="Y125" s="5" t="str">
        <f t="shared" si="6"/>
        <v>Employed</v>
      </c>
      <c r="Z125" s="3" t="str">
        <f t="shared" si="7"/>
        <v>Consumer &amp; Personal</v>
      </c>
    </row>
    <row r="126" spans="1:26" ht="17.399999999999999" x14ac:dyDescent="0.35">
      <c r="A126" s="3" t="s">
        <v>302</v>
      </c>
      <c r="B126" s="3" t="s">
        <v>303</v>
      </c>
      <c r="C126" s="4">
        <v>45444</v>
      </c>
      <c r="D126" s="3" t="s">
        <v>77</v>
      </c>
      <c r="E126" s="3">
        <v>39300</v>
      </c>
      <c r="F126" s="3">
        <v>12</v>
      </c>
      <c r="G126" s="3">
        <v>12.63</v>
      </c>
      <c r="H126" s="3">
        <v>3503.35</v>
      </c>
      <c r="I126" s="3">
        <v>88.9</v>
      </c>
      <c r="J126" s="3" t="s">
        <v>48</v>
      </c>
      <c r="K126" s="3">
        <v>0</v>
      </c>
      <c r="L126" s="3">
        <v>0</v>
      </c>
      <c r="M126" s="3">
        <v>40</v>
      </c>
      <c r="N126" s="3" t="s">
        <v>102</v>
      </c>
      <c r="O126" s="3" t="s">
        <v>43</v>
      </c>
      <c r="P126" s="3" t="s">
        <v>37</v>
      </c>
      <c r="Q126" s="3">
        <v>18</v>
      </c>
      <c r="R126" s="3">
        <v>68782</v>
      </c>
      <c r="S126" s="3">
        <v>711</v>
      </c>
      <c r="T126" s="3" t="s">
        <v>45</v>
      </c>
      <c r="U126" s="3">
        <v>2</v>
      </c>
      <c r="V126" s="3">
        <v>1595</v>
      </c>
      <c r="W126" s="5" t="str">
        <f t="shared" si="4"/>
        <v>700-749</v>
      </c>
      <c r="X126" s="5" t="str">
        <f t="shared" si="5"/>
        <v>Critical (&gt;75%)</v>
      </c>
      <c r="Y126" s="5" t="str">
        <f t="shared" si="6"/>
        <v>Employed</v>
      </c>
      <c r="Z126" s="3" t="str">
        <f t="shared" si="7"/>
        <v>Consumer &amp; Personal</v>
      </c>
    </row>
    <row r="127" spans="1:26" ht="17.399999999999999" x14ac:dyDescent="0.35">
      <c r="A127" s="3" t="s">
        <v>304</v>
      </c>
      <c r="B127" s="3" t="s">
        <v>305</v>
      </c>
      <c r="C127" s="4">
        <v>45794</v>
      </c>
      <c r="D127" s="3" t="s">
        <v>56</v>
      </c>
      <c r="E127" s="3">
        <v>40800</v>
      </c>
      <c r="F127" s="3">
        <v>60</v>
      </c>
      <c r="G127" s="3">
        <v>9.25</v>
      </c>
      <c r="H127" s="3">
        <v>851.9</v>
      </c>
      <c r="I127" s="3">
        <v>65.900000000000006</v>
      </c>
      <c r="J127" s="3" t="s">
        <v>25</v>
      </c>
      <c r="K127" s="3">
        <v>0</v>
      </c>
      <c r="L127" s="3">
        <v>0</v>
      </c>
      <c r="M127" s="3">
        <v>41</v>
      </c>
      <c r="N127" s="3" t="s">
        <v>167</v>
      </c>
      <c r="O127" s="3" t="s">
        <v>27</v>
      </c>
      <c r="P127" s="3" t="s">
        <v>37</v>
      </c>
      <c r="Q127" s="3">
        <v>12</v>
      </c>
      <c r="R127" s="3">
        <v>39408</v>
      </c>
      <c r="S127" s="3">
        <v>646</v>
      </c>
      <c r="T127" s="3" t="s">
        <v>45</v>
      </c>
      <c r="U127" s="3">
        <v>0</v>
      </c>
      <c r="V127" s="3">
        <v>1312</v>
      </c>
      <c r="W127" s="5" t="str">
        <f t="shared" si="4"/>
        <v>600-649</v>
      </c>
      <c r="X127" s="5" t="str">
        <f t="shared" si="5"/>
        <v>High (51-75%)</v>
      </c>
      <c r="Y127" s="5" t="str">
        <f t="shared" si="6"/>
        <v>Employed</v>
      </c>
      <c r="Z127" s="3" t="str">
        <f t="shared" si="7"/>
        <v>Consumer &amp; Personal</v>
      </c>
    </row>
    <row r="128" spans="1:26" ht="17.399999999999999" x14ac:dyDescent="0.35">
      <c r="A128" s="3" t="s">
        <v>306</v>
      </c>
      <c r="B128" s="3" t="s">
        <v>307</v>
      </c>
      <c r="C128" s="4">
        <v>45659</v>
      </c>
      <c r="D128" s="3" t="s">
        <v>61</v>
      </c>
      <c r="E128" s="3">
        <v>2200</v>
      </c>
      <c r="F128" s="3">
        <v>48</v>
      </c>
      <c r="G128" s="3">
        <v>6.79</v>
      </c>
      <c r="H128" s="3">
        <v>52.47</v>
      </c>
      <c r="I128" s="3">
        <v>50.9</v>
      </c>
      <c r="J128" s="3" t="s">
        <v>48</v>
      </c>
      <c r="K128" s="3">
        <v>0</v>
      </c>
      <c r="L128" s="3">
        <v>0</v>
      </c>
      <c r="M128" s="3">
        <v>23</v>
      </c>
      <c r="N128" s="3" t="s">
        <v>89</v>
      </c>
      <c r="O128" s="3" t="s">
        <v>58</v>
      </c>
      <c r="P128" s="3" t="s">
        <v>28</v>
      </c>
      <c r="Q128" s="3">
        <v>0</v>
      </c>
      <c r="R128" s="3">
        <v>95183</v>
      </c>
      <c r="S128" s="3">
        <v>829</v>
      </c>
      <c r="T128" s="3" t="s">
        <v>29</v>
      </c>
      <c r="U128" s="3">
        <v>1</v>
      </c>
      <c r="V128" s="3">
        <v>3982</v>
      </c>
      <c r="W128" s="5" t="str">
        <f t="shared" si="4"/>
        <v>750+</v>
      </c>
      <c r="X128" s="5" t="str">
        <f t="shared" si="5"/>
        <v>High (51-75%)</v>
      </c>
      <c r="Y128" s="5" t="str">
        <f t="shared" si="6"/>
        <v>Self-Employed</v>
      </c>
      <c r="Z128" s="3" t="str">
        <f t="shared" si="7"/>
        <v>Investment &amp; Growth</v>
      </c>
    </row>
    <row r="129" spans="1:26" ht="17.399999999999999" x14ac:dyDescent="0.35">
      <c r="A129" s="3" t="s">
        <v>308</v>
      </c>
      <c r="B129" s="3" t="s">
        <v>307</v>
      </c>
      <c r="C129" s="4">
        <v>45762</v>
      </c>
      <c r="D129" s="3" t="s">
        <v>61</v>
      </c>
      <c r="E129" s="3">
        <v>43000</v>
      </c>
      <c r="F129" s="3">
        <v>36</v>
      </c>
      <c r="G129" s="3">
        <v>6.59</v>
      </c>
      <c r="H129" s="3">
        <v>1319.67</v>
      </c>
      <c r="I129" s="3">
        <v>66.8</v>
      </c>
      <c r="J129" s="3" t="s">
        <v>48</v>
      </c>
      <c r="K129" s="3">
        <v>0</v>
      </c>
      <c r="L129" s="3">
        <v>0</v>
      </c>
      <c r="M129" s="3">
        <v>23</v>
      </c>
      <c r="N129" s="3" t="s">
        <v>89</v>
      </c>
      <c r="O129" s="3" t="s">
        <v>58</v>
      </c>
      <c r="P129" s="3" t="s">
        <v>28</v>
      </c>
      <c r="Q129" s="3">
        <v>0</v>
      </c>
      <c r="R129" s="3">
        <v>95183</v>
      </c>
      <c r="S129" s="3">
        <v>829</v>
      </c>
      <c r="T129" s="3" t="s">
        <v>29</v>
      </c>
      <c r="U129" s="3">
        <v>1</v>
      </c>
      <c r="V129" s="3">
        <v>3982</v>
      </c>
      <c r="W129" s="5" t="str">
        <f t="shared" si="4"/>
        <v>750+</v>
      </c>
      <c r="X129" s="5" t="str">
        <f t="shared" si="5"/>
        <v>High (51-75%)</v>
      </c>
      <c r="Y129" s="5" t="str">
        <f t="shared" si="6"/>
        <v>Self-Employed</v>
      </c>
      <c r="Z129" s="3" t="str">
        <f t="shared" si="7"/>
        <v>Investment &amp; Growth</v>
      </c>
    </row>
    <row r="130" spans="1:26" ht="17.399999999999999" x14ac:dyDescent="0.35">
      <c r="A130" s="3" t="s">
        <v>309</v>
      </c>
      <c r="B130" s="3" t="s">
        <v>310</v>
      </c>
      <c r="C130" s="4">
        <v>45659</v>
      </c>
      <c r="D130" s="3" t="s">
        <v>31</v>
      </c>
      <c r="E130" s="3">
        <v>16300</v>
      </c>
      <c r="F130" s="3">
        <v>48</v>
      </c>
      <c r="G130" s="3">
        <v>13.45</v>
      </c>
      <c r="H130" s="3">
        <v>440.94</v>
      </c>
      <c r="I130" s="3">
        <v>45.3</v>
      </c>
      <c r="J130" s="3" t="s">
        <v>99</v>
      </c>
      <c r="K130" s="3">
        <v>15</v>
      </c>
      <c r="L130" s="3">
        <v>0</v>
      </c>
      <c r="M130" s="3">
        <v>40</v>
      </c>
      <c r="N130" s="3" t="s">
        <v>42</v>
      </c>
      <c r="O130" s="3" t="s">
        <v>72</v>
      </c>
      <c r="P130" s="3" t="s">
        <v>37</v>
      </c>
      <c r="Q130" s="3">
        <v>20</v>
      </c>
      <c r="R130" s="3">
        <v>123405</v>
      </c>
      <c r="S130" s="3">
        <v>662</v>
      </c>
      <c r="T130" s="3" t="s">
        <v>38</v>
      </c>
      <c r="U130" s="3">
        <v>2</v>
      </c>
      <c r="V130" s="3">
        <v>4221</v>
      </c>
      <c r="W130" s="5" t="str">
        <f t="shared" ref="W130:W193" si="8">IF(S130&lt;=599, "520-599", IF(S130&lt;=649, "600-649", IF(S130&lt;=699, "650-699", IF(S130&lt;=749, "700-749", "750+"))))</f>
        <v>650-699</v>
      </c>
      <c r="X130" s="5" t="str">
        <f t="shared" ref="X130:X193" si="9">IF(I130&lt;=35, "Low (&lt;=35%)", IF(I130&lt;=50, "Manageable (36-50%)", IF(I130&lt;=75, "High (51-75%)", "Critical (&gt;75%)")))</f>
        <v>Manageable (36-50%)</v>
      </c>
      <c r="Y130" s="5" t="str">
        <f t="shared" ref="Y130:Y193" si="10">IF(OR(P130="Full-Time", P130="Part-Time", P130="Contract"), "Employed", IF(P130="Self-Employed", "Self-Employed", IF(P130="Retired", "Retired", "Other")))</f>
        <v>Employed</v>
      </c>
      <c r="Z130" s="3" t="str">
        <f t="shared" ref="Z130:Z193" si="11">IF(OR(D130="Vacation", D130="Medical Expenses", D130="Wedding", D130="Moving"), "Consumer &amp; Personal", IF(OR(D130="Debt Consolidation", D130="Major Purchase", D130="Auto Loan"), "Debt &amp; Assets", IF(OR(D130="Home Improvement", D130="Business Loan", D130="Education"), "Investment &amp; Growth", "Other")))</f>
        <v>Debt &amp; Assets</v>
      </c>
    </row>
    <row r="131" spans="1:26" ht="17.399999999999999" x14ac:dyDescent="0.35">
      <c r="A131" s="3" t="s">
        <v>311</v>
      </c>
      <c r="B131" s="3" t="s">
        <v>312</v>
      </c>
      <c r="C131" s="4">
        <v>45690</v>
      </c>
      <c r="D131" s="3" t="s">
        <v>67</v>
      </c>
      <c r="E131" s="3">
        <v>18500</v>
      </c>
      <c r="F131" s="3">
        <v>60</v>
      </c>
      <c r="G131" s="3">
        <v>7.03</v>
      </c>
      <c r="H131" s="3">
        <v>366.58</v>
      </c>
      <c r="I131" s="3">
        <v>32.6</v>
      </c>
      <c r="J131" s="3" t="s">
        <v>32</v>
      </c>
      <c r="K131" s="3">
        <v>168</v>
      </c>
      <c r="L131" s="3">
        <v>1</v>
      </c>
      <c r="M131" s="3">
        <v>64</v>
      </c>
      <c r="N131" s="3" t="s">
        <v>105</v>
      </c>
      <c r="O131" s="3" t="s">
        <v>43</v>
      </c>
      <c r="P131" s="3" t="s">
        <v>37</v>
      </c>
      <c r="Q131" s="3">
        <v>2</v>
      </c>
      <c r="R131" s="3">
        <v>46799</v>
      </c>
      <c r="S131" s="3">
        <v>850</v>
      </c>
      <c r="T131" s="3" t="s">
        <v>45</v>
      </c>
      <c r="U131" s="3">
        <v>0</v>
      </c>
      <c r="V131" s="3">
        <v>906</v>
      </c>
      <c r="W131" s="5" t="str">
        <f t="shared" si="8"/>
        <v>750+</v>
      </c>
      <c r="X131" s="5" t="str">
        <f t="shared" si="9"/>
        <v>Low (&lt;=35%)</v>
      </c>
      <c r="Y131" s="5" t="str">
        <f t="shared" si="10"/>
        <v>Employed</v>
      </c>
      <c r="Z131" s="3" t="str">
        <f t="shared" si="11"/>
        <v>Debt &amp; Assets</v>
      </c>
    </row>
    <row r="132" spans="1:26" ht="17.399999999999999" x14ac:dyDescent="0.35">
      <c r="A132" s="3" t="s">
        <v>313</v>
      </c>
      <c r="B132" s="3" t="s">
        <v>314</v>
      </c>
      <c r="C132" s="4">
        <v>45308</v>
      </c>
      <c r="D132" s="3" t="s">
        <v>24</v>
      </c>
      <c r="E132" s="3">
        <v>38600</v>
      </c>
      <c r="F132" s="3">
        <v>48</v>
      </c>
      <c r="G132" s="3">
        <v>14.52</v>
      </c>
      <c r="H132" s="3">
        <v>1064.9000000000001</v>
      </c>
      <c r="I132" s="3">
        <v>49.5</v>
      </c>
      <c r="J132" s="3" t="s">
        <v>32</v>
      </c>
      <c r="K132" s="3">
        <v>44</v>
      </c>
      <c r="L132" s="3">
        <v>1</v>
      </c>
      <c r="M132" s="3">
        <v>30</v>
      </c>
      <c r="N132" s="3" t="s">
        <v>119</v>
      </c>
      <c r="O132" s="3" t="s">
        <v>27</v>
      </c>
      <c r="P132" s="3" t="s">
        <v>37</v>
      </c>
      <c r="Q132" s="3">
        <v>3</v>
      </c>
      <c r="R132" s="3">
        <v>48711</v>
      </c>
      <c r="S132" s="3">
        <v>619</v>
      </c>
      <c r="T132" s="3" t="s">
        <v>38</v>
      </c>
      <c r="U132" s="3">
        <v>3</v>
      </c>
      <c r="V132" s="3">
        <v>945</v>
      </c>
      <c r="W132" s="5" t="str">
        <f t="shared" si="8"/>
        <v>600-649</v>
      </c>
      <c r="X132" s="5" t="str">
        <f t="shared" si="9"/>
        <v>Manageable (36-50%)</v>
      </c>
      <c r="Y132" s="5" t="str">
        <f t="shared" si="10"/>
        <v>Employed</v>
      </c>
      <c r="Z132" s="3" t="str">
        <f t="shared" si="11"/>
        <v>Consumer &amp; Personal</v>
      </c>
    </row>
    <row r="133" spans="1:26" ht="17.399999999999999" x14ac:dyDescent="0.35">
      <c r="A133" s="3" t="s">
        <v>315</v>
      </c>
      <c r="B133" s="3" t="s">
        <v>316</v>
      </c>
      <c r="C133" s="4">
        <v>45444</v>
      </c>
      <c r="D133" s="3" t="s">
        <v>67</v>
      </c>
      <c r="E133" s="3">
        <v>12200</v>
      </c>
      <c r="F133" s="3">
        <v>60</v>
      </c>
      <c r="G133" s="3">
        <v>9.2799999999999994</v>
      </c>
      <c r="H133" s="3">
        <v>254.91</v>
      </c>
      <c r="I133" s="3">
        <v>32.4</v>
      </c>
      <c r="J133" s="3" t="s">
        <v>48</v>
      </c>
      <c r="K133" s="3">
        <v>0</v>
      </c>
      <c r="L133" s="3">
        <v>0</v>
      </c>
      <c r="M133" s="3">
        <v>54</v>
      </c>
      <c r="N133" s="3" t="s">
        <v>128</v>
      </c>
      <c r="O133" s="3" t="s">
        <v>72</v>
      </c>
      <c r="P133" s="3" t="s">
        <v>44</v>
      </c>
      <c r="Q133" s="3">
        <v>18</v>
      </c>
      <c r="R133" s="3">
        <v>76648</v>
      </c>
      <c r="S133" s="3">
        <v>781</v>
      </c>
      <c r="T133" s="3" t="s">
        <v>29</v>
      </c>
      <c r="U133" s="3">
        <v>3</v>
      </c>
      <c r="V133" s="3">
        <v>1815</v>
      </c>
      <c r="W133" s="5" t="str">
        <f t="shared" si="8"/>
        <v>750+</v>
      </c>
      <c r="X133" s="5" t="str">
        <f t="shared" si="9"/>
        <v>Low (&lt;=35%)</v>
      </c>
      <c r="Y133" s="5" t="str">
        <f t="shared" si="10"/>
        <v>Employed</v>
      </c>
      <c r="Z133" s="3" t="str">
        <f t="shared" si="11"/>
        <v>Debt &amp; Assets</v>
      </c>
    </row>
    <row r="134" spans="1:26" ht="17.399999999999999" x14ac:dyDescent="0.35">
      <c r="A134" s="3" t="s">
        <v>317</v>
      </c>
      <c r="B134" s="3" t="s">
        <v>318</v>
      </c>
      <c r="C134" s="4">
        <v>45425</v>
      </c>
      <c r="D134" s="3" t="s">
        <v>24</v>
      </c>
      <c r="E134" s="3">
        <v>17200</v>
      </c>
      <c r="F134" s="3">
        <v>60</v>
      </c>
      <c r="G134" s="3">
        <v>8.1</v>
      </c>
      <c r="H134" s="3">
        <v>349.58</v>
      </c>
      <c r="I134" s="3">
        <v>38</v>
      </c>
      <c r="J134" s="3" t="s">
        <v>32</v>
      </c>
      <c r="K134" s="3">
        <v>42</v>
      </c>
      <c r="L134" s="3">
        <v>1</v>
      </c>
      <c r="M134" s="3">
        <v>26</v>
      </c>
      <c r="N134" s="3" t="s">
        <v>149</v>
      </c>
      <c r="O134" s="3" t="s">
        <v>27</v>
      </c>
      <c r="P134" s="3" t="s">
        <v>85</v>
      </c>
      <c r="Q134" s="3">
        <v>6</v>
      </c>
      <c r="R134" s="3">
        <v>31605</v>
      </c>
      <c r="S134" s="3">
        <v>728</v>
      </c>
      <c r="T134" s="3" t="s">
        <v>29</v>
      </c>
      <c r="U134" s="3">
        <v>0</v>
      </c>
      <c r="V134" s="3">
        <v>651</v>
      </c>
      <c r="W134" s="5" t="str">
        <f t="shared" si="8"/>
        <v>700-749</v>
      </c>
      <c r="X134" s="5" t="str">
        <f t="shared" si="9"/>
        <v>Manageable (36-50%)</v>
      </c>
      <c r="Y134" s="5" t="str">
        <f t="shared" si="10"/>
        <v>Retired</v>
      </c>
      <c r="Z134" s="3" t="str">
        <f t="shared" si="11"/>
        <v>Consumer &amp; Personal</v>
      </c>
    </row>
    <row r="135" spans="1:26" ht="17.399999999999999" x14ac:dyDescent="0.35">
      <c r="A135" s="3" t="s">
        <v>319</v>
      </c>
      <c r="B135" s="3" t="s">
        <v>320</v>
      </c>
      <c r="C135" s="4">
        <v>45400</v>
      </c>
      <c r="D135" s="3" t="s">
        <v>61</v>
      </c>
      <c r="E135" s="3">
        <v>10200</v>
      </c>
      <c r="F135" s="3">
        <v>60</v>
      </c>
      <c r="G135" s="3">
        <v>9.09</v>
      </c>
      <c r="H135" s="3">
        <v>212.18</v>
      </c>
      <c r="I135" s="3">
        <v>13.5</v>
      </c>
      <c r="J135" s="3" t="s">
        <v>32</v>
      </c>
      <c r="K135" s="3">
        <v>86</v>
      </c>
      <c r="L135" s="3">
        <v>1</v>
      </c>
      <c r="M135" s="3">
        <v>38</v>
      </c>
      <c r="N135" s="3" t="s">
        <v>36</v>
      </c>
      <c r="O135" s="3" t="s">
        <v>43</v>
      </c>
      <c r="P135" s="3" t="s">
        <v>37</v>
      </c>
      <c r="Q135" s="3">
        <v>18</v>
      </c>
      <c r="R135" s="3">
        <v>83526</v>
      </c>
      <c r="S135" s="3">
        <v>674</v>
      </c>
      <c r="T135" s="3" t="s">
        <v>45</v>
      </c>
      <c r="U135" s="3">
        <v>3</v>
      </c>
      <c r="V135" s="3">
        <v>725</v>
      </c>
      <c r="W135" s="5" t="str">
        <f t="shared" si="8"/>
        <v>650-699</v>
      </c>
      <c r="X135" s="5" t="str">
        <f t="shared" si="9"/>
        <v>Low (&lt;=35%)</v>
      </c>
      <c r="Y135" s="5" t="str">
        <f t="shared" si="10"/>
        <v>Employed</v>
      </c>
      <c r="Z135" s="3" t="str">
        <f t="shared" si="11"/>
        <v>Investment &amp; Growth</v>
      </c>
    </row>
    <row r="136" spans="1:26" ht="17.399999999999999" x14ac:dyDescent="0.35">
      <c r="A136" s="3" t="s">
        <v>321</v>
      </c>
      <c r="B136" s="3" t="s">
        <v>320</v>
      </c>
      <c r="C136" s="4">
        <v>45432</v>
      </c>
      <c r="D136" s="3" t="s">
        <v>61</v>
      </c>
      <c r="E136" s="3">
        <v>22500</v>
      </c>
      <c r="F136" s="3">
        <v>48</v>
      </c>
      <c r="G136" s="3">
        <v>10.39</v>
      </c>
      <c r="H136" s="3">
        <v>574.88</v>
      </c>
      <c r="I136" s="3">
        <v>18.7</v>
      </c>
      <c r="J136" s="3" t="s">
        <v>99</v>
      </c>
      <c r="K136" s="3">
        <v>30</v>
      </c>
      <c r="L136" s="3">
        <v>0</v>
      </c>
      <c r="M136" s="3">
        <v>38</v>
      </c>
      <c r="N136" s="3" t="s">
        <v>36</v>
      </c>
      <c r="O136" s="3" t="s">
        <v>43</v>
      </c>
      <c r="P136" s="3" t="s">
        <v>37</v>
      </c>
      <c r="Q136" s="3">
        <v>18</v>
      </c>
      <c r="R136" s="3">
        <v>83526</v>
      </c>
      <c r="S136" s="3">
        <v>674</v>
      </c>
      <c r="T136" s="3" t="s">
        <v>45</v>
      </c>
      <c r="U136" s="3">
        <v>3</v>
      </c>
      <c r="V136" s="3">
        <v>725</v>
      </c>
      <c r="W136" s="5" t="str">
        <f t="shared" si="8"/>
        <v>650-699</v>
      </c>
      <c r="X136" s="5" t="str">
        <f t="shared" si="9"/>
        <v>Low (&lt;=35%)</v>
      </c>
      <c r="Y136" s="5" t="str">
        <f t="shared" si="10"/>
        <v>Employed</v>
      </c>
      <c r="Z136" s="3" t="str">
        <f t="shared" si="11"/>
        <v>Investment &amp; Growth</v>
      </c>
    </row>
    <row r="137" spans="1:26" ht="17.399999999999999" x14ac:dyDescent="0.35">
      <c r="A137" s="3" t="s">
        <v>322</v>
      </c>
      <c r="B137" s="3" t="s">
        <v>323</v>
      </c>
      <c r="C137" s="4">
        <v>45464</v>
      </c>
      <c r="D137" s="3" t="s">
        <v>56</v>
      </c>
      <c r="E137" s="3">
        <v>6500</v>
      </c>
      <c r="F137" s="3">
        <v>24</v>
      </c>
      <c r="G137" s="3">
        <v>12.17</v>
      </c>
      <c r="H137" s="3">
        <v>306.49</v>
      </c>
      <c r="I137" s="3">
        <v>57.1</v>
      </c>
      <c r="J137" s="3" t="s">
        <v>48</v>
      </c>
      <c r="K137" s="3">
        <v>0</v>
      </c>
      <c r="L137" s="3">
        <v>0</v>
      </c>
      <c r="M137" s="3">
        <v>36</v>
      </c>
      <c r="N137" s="3" t="s">
        <v>36</v>
      </c>
      <c r="O137" s="3" t="s">
        <v>43</v>
      </c>
      <c r="P137" s="3" t="s">
        <v>73</v>
      </c>
      <c r="Q137" s="3">
        <v>7</v>
      </c>
      <c r="R137" s="3">
        <v>55425</v>
      </c>
      <c r="S137" s="3">
        <v>697</v>
      </c>
      <c r="T137" s="3" t="s">
        <v>45</v>
      </c>
      <c r="U137" s="3">
        <v>3</v>
      </c>
      <c r="V137" s="3">
        <v>2331</v>
      </c>
      <c r="W137" s="5" t="str">
        <f t="shared" si="8"/>
        <v>650-699</v>
      </c>
      <c r="X137" s="5" t="str">
        <f t="shared" si="9"/>
        <v>High (51-75%)</v>
      </c>
      <c r="Y137" s="5" t="str">
        <f t="shared" si="10"/>
        <v>Employed</v>
      </c>
      <c r="Z137" s="3" t="str">
        <f t="shared" si="11"/>
        <v>Consumer &amp; Personal</v>
      </c>
    </row>
    <row r="138" spans="1:26" ht="17.399999999999999" x14ac:dyDescent="0.35">
      <c r="A138" s="3" t="s">
        <v>324</v>
      </c>
      <c r="B138" s="3" t="s">
        <v>325</v>
      </c>
      <c r="C138" s="4">
        <v>45453</v>
      </c>
      <c r="D138" s="3" t="s">
        <v>67</v>
      </c>
      <c r="E138" s="3">
        <v>16200</v>
      </c>
      <c r="F138" s="3">
        <v>60</v>
      </c>
      <c r="G138" s="3">
        <v>12.73</v>
      </c>
      <c r="H138" s="3">
        <v>366.36</v>
      </c>
      <c r="I138" s="3">
        <v>59.5</v>
      </c>
      <c r="J138" s="3" t="s">
        <v>32</v>
      </c>
      <c r="K138" s="3">
        <v>154</v>
      </c>
      <c r="L138" s="3">
        <v>1</v>
      </c>
      <c r="M138" s="3">
        <v>41</v>
      </c>
      <c r="N138" s="3" t="s">
        <v>84</v>
      </c>
      <c r="O138" s="3" t="s">
        <v>43</v>
      </c>
      <c r="P138" s="3" t="s">
        <v>37</v>
      </c>
      <c r="Q138" s="3">
        <v>9</v>
      </c>
      <c r="R138" s="3">
        <v>43493</v>
      </c>
      <c r="S138" s="3">
        <v>549</v>
      </c>
      <c r="T138" s="3" t="s">
        <v>29</v>
      </c>
      <c r="U138" s="3">
        <v>0</v>
      </c>
      <c r="V138" s="3">
        <v>1789</v>
      </c>
      <c r="W138" s="5" t="str">
        <f t="shared" si="8"/>
        <v>520-599</v>
      </c>
      <c r="X138" s="5" t="str">
        <f t="shared" si="9"/>
        <v>High (51-75%)</v>
      </c>
      <c r="Y138" s="5" t="str">
        <f t="shared" si="10"/>
        <v>Employed</v>
      </c>
      <c r="Z138" s="3" t="str">
        <f t="shared" si="11"/>
        <v>Debt &amp; Assets</v>
      </c>
    </row>
    <row r="139" spans="1:26" ht="17.399999999999999" x14ac:dyDescent="0.35">
      <c r="A139" s="3" t="s">
        <v>326</v>
      </c>
      <c r="B139" s="3" t="s">
        <v>325</v>
      </c>
      <c r="C139" s="4">
        <v>45582</v>
      </c>
      <c r="D139" s="3" t="s">
        <v>61</v>
      </c>
      <c r="E139" s="3">
        <v>4000</v>
      </c>
      <c r="F139" s="3">
        <v>12</v>
      </c>
      <c r="G139" s="3">
        <v>14.38</v>
      </c>
      <c r="H139" s="3">
        <v>359.86</v>
      </c>
      <c r="I139" s="3">
        <v>59.3</v>
      </c>
      <c r="J139" s="3" t="s">
        <v>32</v>
      </c>
      <c r="K139" s="3">
        <v>151</v>
      </c>
      <c r="L139" s="3">
        <v>1</v>
      </c>
      <c r="M139" s="3">
        <v>41</v>
      </c>
      <c r="N139" s="3" t="s">
        <v>84</v>
      </c>
      <c r="O139" s="3" t="s">
        <v>43</v>
      </c>
      <c r="P139" s="3" t="s">
        <v>37</v>
      </c>
      <c r="Q139" s="3">
        <v>9</v>
      </c>
      <c r="R139" s="3">
        <v>43493</v>
      </c>
      <c r="S139" s="3">
        <v>549</v>
      </c>
      <c r="T139" s="3" t="s">
        <v>29</v>
      </c>
      <c r="U139" s="3">
        <v>0</v>
      </c>
      <c r="V139" s="3">
        <v>1789</v>
      </c>
      <c r="W139" s="5" t="str">
        <f t="shared" si="8"/>
        <v>520-599</v>
      </c>
      <c r="X139" s="5" t="str">
        <f t="shared" si="9"/>
        <v>High (51-75%)</v>
      </c>
      <c r="Y139" s="5" t="str">
        <f t="shared" si="10"/>
        <v>Employed</v>
      </c>
      <c r="Z139" s="3" t="str">
        <f t="shared" si="11"/>
        <v>Investment &amp; Growth</v>
      </c>
    </row>
    <row r="140" spans="1:26" ht="17.399999999999999" x14ac:dyDescent="0.35">
      <c r="A140" s="3" t="s">
        <v>327</v>
      </c>
      <c r="B140" s="3" t="s">
        <v>328</v>
      </c>
      <c r="C140" s="4">
        <v>45470</v>
      </c>
      <c r="D140" s="3" t="s">
        <v>64</v>
      </c>
      <c r="E140" s="3">
        <v>14400</v>
      </c>
      <c r="F140" s="3">
        <v>48</v>
      </c>
      <c r="G140" s="3">
        <v>8.3800000000000008</v>
      </c>
      <c r="H140" s="3">
        <v>354.12</v>
      </c>
      <c r="I140" s="3">
        <v>29.9</v>
      </c>
      <c r="J140" s="3" t="s">
        <v>48</v>
      </c>
      <c r="K140" s="3">
        <v>0</v>
      </c>
      <c r="L140" s="3">
        <v>0</v>
      </c>
      <c r="M140" s="3">
        <v>30</v>
      </c>
      <c r="N140" s="3" t="s">
        <v>89</v>
      </c>
      <c r="O140" s="3" t="s">
        <v>43</v>
      </c>
      <c r="P140" s="3" t="s">
        <v>37</v>
      </c>
      <c r="Q140" s="3">
        <v>6</v>
      </c>
      <c r="R140" s="3">
        <v>101170</v>
      </c>
      <c r="S140" s="3">
        <v>821</v>
      </c>
      <c r="T140" s="3" t="s">
        <v>45</v>
      </c>
      <c r="U140" s="3">
        <v>0</v>
      </c>
      <c r="V140" s="3">
        <v>2170</v>
      </c>
      <c r="W140" s="5" t="str">
        <f t="shared" si="8"/>
        <v>750+</v>
      </c>
      <c r="X140" s="5" t="str">
        <f t="shared" si="9"/>
        <v>Low (&lt;=35%)</v>
      </c>
      <c r="Y140" s="5" t="str">
        <f t="shared" si="10"/>
        <v>Employed</v>
      </c>
      <c r="Z140" s="3" t="str">
        <f t="shared" si="11"/>
        <v>Investment &amp; Growth</v>
      </c>
    </row>
    <row r="141" spans="1:26" ht="17.399999999999999" x14ac:dyDescent="0.35">
      <c r="A141" s="3" t="s">
        <v>329</v>
      </c>
      <c r="B141" s="3" t="s">
        <v>330</v>
      </c>
      <c r="C141" s="4">
        <v>45533</v>
      </c>
      <c r="D141" s="3" t="s">
        <v>61</v>
      </c>
      <c r="E141" s="3">
        <v>39600</v>
      </c>
      <c r="F141" s="3">
        <v>36</v>
      </c>
      <c r="G141" s="3">
        <v>10.79</v>
      </c>
      <c r="H141" s="3">
        <v>1292.52</v>
      </c>
      <c r="I141" s="3">
        <v>73.400000000000006</v>
      </c>
      <c r="J141" s="3" t="s">
        <v>32</v>
      </c>
      <c r="K141" s="3">
        <v>165</v>
      </c>
      <c r="L141" s="3">
        <v>1</v>
      </c>
      <c r="M141" s="3">
        <v>28</v>
      </c>
      <c r="N141" s="3" t="s">
        <v>115</v>
      </c>
      <c r="O141" s="3" t="s">
        <v>72</v>
      </c>
      <c r="P141" s="3" t="s">
        <v>73</v>
      </c>
      <c r="Q141" s="3">
        <v>0</v>
      </c>
      <c r="R141" s="3">
        <v>74343</v>
      </c>
      <c r="S141" s="3">
        <v>678</v>
      </c>
      <c r="T141" s="3" t="s">
        <v>29</v>
      </c>
      <c r="U141" s="3">
        <v>1</v>
      </c>
      <c r="V141" s="3">
        <v>3254</v>
      </c>
      <c r="W141" s="5" t="str">
        <f t="shared" si="8"/>
        <v>650-699</v>
      </c>
      <c r="X141" s="5" t="str">
        <f t="shared" si="9"/>
        <v>High (51-75%)</v>
      </c>
      <c r="Y141" s="5" t="str">
        <f t="shared" si="10"/>
        <v>Employed</v>
      </c>
      <c r="Z141" s="3" t="str">
        <f t="shared" si="11"/>
        <v>Investment &amp; Growth</v>
      </c>
    </row>
    <row r="142" spans="1:26" ht="17.399999999999999" x14ac:dyDescent="0.35">
      <c r="A142" s="3" t="s">
        <v>331</v>
      </c>
      <c r="B142" s="3" t="s">
        <v>332</v>
      </c>
      <c r="C142" s="4">
        <v>45767</v>
      </c>
      <c r="D142" s="3" t="s">
        <v>77</v>
      </c>
      <c r="E142" s="3">
        <v>23700</v>
      </c>
      <c r="F142" s="3">
        <v>60</v>
      </c>
      <c r="G142" s="3">
        <v>8.3699999999999992</v>
      </c>
      <c r="H142" s="3">
        <v>484.76</v>
      </c>
      <c r="I142" s="3">
        <v>25.1</v>
      </c>
      <c r="J142" s="3" t="s">
        <v>48</v>
      </c>
      <c r="K142" s="3">
        <v>0</v>
      </c>
      <c r="L142" s="3">
        <v>0</v>
      </c>
      <c r="M142" s="3">
        <v>45</v>
      </c>
      <c r="N142" s="3" t="s">
        <v>42</v>
      </c>
      <c r="O142" s="3" t="s">
        <v>27</v>
      </c>
      <c r="P142" s="3" t="s">
        <v>28</v>
      </c>
      <c r="Q142" s="3">
        <v>11</v>
      </c>
      <c r="R142" s="3">
        <v>41565</v>
      </c>
      <c r="S142" s="3">
        <v>850</v>
      </c>
      <c r="T142" s="3" t="s">
        <v>38</v>
      </c>
      <c r="U142" s="3">
        <v>0</v>
      </c>
      <c r="V142" s="3">
        <v>384</v>
      </c>
      <c r="W142" s="5" t="str">
        <f t="shared" si="8"/>
        <v>750+</v>
      </c>
      <c r="X142" s="5" t="str">
        <f t="shared" si="9"/>
        <v>Low (&lt;=35%)</v>
      </c>
      <c r="Y142" s="5" t="str">
        <f t="shared" si="10"/>
        <v>Self-Employed</v>
      </c>
      <c r="Z142" s="3" t="str">
        <f t="shared" si="11"/>
        <v>Consumer &amp; Personal</v>
      </c>
    </row>
    <row r="143" spans="1:26" ht="17.399999999999999" x14ac:dyDescent="0.35">
      <c r="A143" s="3" t="s">
        <v>333</v>
      </c>
      <c r="B143" s="3" t="s">
        <v>332</v>
      </c>
      <c r="C143" s="4">
        <v>45455</v>
      </c>
      <c r="D143" s="3" t="s">
        <v>64</v>
      </c>
      <c r="E143" s="3">
        <v>4400</v>
      </c>
      <c r="F143" s="3">
        <v>48</v>
      </c>
      <c r="G143" s="3">
        <v>8.32</v>
      </c>
      <c r="H143" s="3">
        <v>108.08</v>
      </c>
      <c r="I143" s="3">
        <v>14.2</v>
      </c>
      <c r="J143" s="3" t="s">
        <v>99</v>
      </c>
      <c r="K143" s="3">
        <v>0</v>
      </c>
      <c r="L143" s="3">
        <v>0</v>
      </c>
      <c r="M143" s="3">
        <v>45</v>
      </c>
      <c r="N143" s="3" t="s">
        <v>42</v>
      </c>
      <c r="O143" s="3" t="s">
        <v>27</v>
      </c>
      <c r="P143" s="3" t="s">
        <v>28</v>
      </c>
      <c r="Q143" s="3">
        <v>11</v>
      </c>
      <c r="R143" s="3">
        <v>41565</v>
      </c>
      <c r="S143" s="3">
        <v>850</v>
      </c>
      <c r="T143" s="3" t="s">
        <v>38</v>
      </c>
      <c r="U143" s="3">
        <v>0</v>
      </c>
      <c r="V143" s="3">
        <v>384</v>
      </c>
      <c r="W143" s="5" t="str">
        <f t="shared" si="8"/>
        <v>750+</v>
      </c>
      <c r="X143" s="5" t="str">
        <f t="shared" si="9"/>
        <v>Low (&lt;=35%)</v>
      </c>
      <c r="Y143" s="5" t="str">
        <f t="shared" si="10"/>
        <v>Self-Employed</v>
      </c>
      <c r="Z143" s="3" t="str">
        <f t="shared" si="11"/>
        <v>Investment &amp; Growth</v>
      </c>
    </row>
    <row r="144" spans="1:26" ht="17.399999999999999" x14ac:dyDescent="0.35">
      <c r="A144" s="3" t="s">
        <v>334</v>
      </c>
      <c r="B144" s="3" t="s">
        <v>335</v>
      </c>
      <c r="C144" s="4">
        <v>45345</v>
      </c>
      <c r="D144" s="3" t="s">
        <v>31</v>
      </c>
      <c r="E144" s="3">
        <v>17400</v>
      </c>
      <c r="F144" s="3">
        <v>48</v>
      </c>
      <c r="G144" s="3">
        <v>11.22</v>
      </c>
      <c r="H144" s="3">
        <v>451.57</v>
      </c>
      <c r="I144" s="3">
        <v>56.4</v>
      </c>
      <c r="J144" s="3" t="s">
        <v>25</v>
      </c>
      <c r="K144" s="3">
        <v>0</v>
      </c>
      <c r="L144" s="3">
        <v>0</v>
      </c>
      <c r="M144" s="3">
        <v>51</v>
      </c>
      <c r="N144" s="3" t="s">
        <v>62</v>
      </c>
      <c r="O144" s="3" t="s">
        <v>27</v>
      </c>
      <c r="P144" s="3" t="s">
        <v>37</v>
      </c>
      <c r="Q144" s="3">
        <v>3</v>
      </c>
      <c r="R144" s="3">
        <v>44910</v>
      </c>
      <c r="S144" s="3">
        <v>540</v>
      </c>
      <c r="T144" s="3" t="s">
        <v>29</v>
      </c>
      <c r="U144" s="3">
        <v>4</v>
      </c>
      <c r="V144" s="3">
        <v>1659</v>
      </c>
      <c r="W144" s="5" t="str">
        <f t="shared" si="8"/>
        <v>520-599</v>
      </c>
      <c r="X144" s="5" t="str">
        <f t="shared" si="9"/>
        <v>High (51-75%)</v>
      </c>
      <c r="Y144" s="5" t="str">
        <f t="shared" si="10"/>
        <v>Employed</v>
      </c>
      <c r="Z144" s="3" t="str">
        <f t="shared" si="11"/>
        <v>Debt &amp; Assets</v>
      </c>
    </row>
    <row r="145" spans="1:26" ht="17.399999999999999" x14ac:dyDescent="0.35">
      <c r="A145" s="3" t="s">
        <v>336</v>
      </c>
      <c r="B145" s="3" t="s">
        <v>337</v>
      </c>
      <c r="C145" s="4">
        <v>45625</v>
      </c>
      <c r="D145" s="3" t="s">
        <v>61</v>
      </c>
      <c r="E145" s="3">
        <v>4200</v>
      </c>
      <c r="F145" s="3">
        <v>48</v>
      </c>
      <c r="G145" s="3">
        <v>12.38</v>
      </c>
      <c r="H145" s="3">
        <v>111.39</v>
      </c>
      <c r="I145" s="3">
        <v>39.299999999999997</v>
      </c>
      <c r="J145" s="3" t="s">
        <v>25</v>
      </c>
      <c r="K145" s="3">
        <v>0</v>
      </c>
      <c r="L145" s="3">
        <v>0</v>
      </c>
      <c r="M145" s="3">
        <v>35</v>
      </c>
      <c r="N145" s="3" t="s">
        <v>203</v>
      </c>
      <c r="O145" s="3" t="s">
        <v>27</v>
      </c>
      <c r="P145" s="3" t="s">
        <v>28</v>
      </c>
      <c r="Q145" s="3">
        <v>7</v>
      </c>
      <c r="R145" s="3">
        <v>29691</v>
      </c>
      <c r="S145" s="3">
        <v>635</v>
      </c>
      <c r="T145" s="3" t="s">
        <v>45</v>
      </c>
      <c r="U145" s="3">
        <v>2</v>
      </c>
      <c r="V145" s="3">
        <v>861</v>
      </c>
      <c r="W145" s="5" t="str">
        <f t="shared" si="8"/>
        <v>600-649</v>
      </c>
      <c r="X145" s="5" t="str">
        <f t="shared" si="9"/>
        <v>Manageable (36-50%)</v>
      </c>
      <c r="Y145" s="5" t="str">
        <f t="shared" si="10"/>
        <v>Self-Employed</v>
      </c>
      <c r="Z145" s="3" t="str">
        <f t="shared" si="11"/>
        <v>Investment &amp; Growth</v>
      </c>
    </row>
    <row r="146" spans="1:26" ht="17.399999999999999" x14ac:dyDescent="0.35">
      <c r="A146" s="3" t="s">
        <v>338</v>
      </c>
      <c r="B146" s="3" t="s">
        <v>339</v>
      </c>
      <c r="C146" s="4">
        <v>45676</v>
      </c>
      <c r="D146" s="3" t="s">
        <v>61</v>
      </c>
      <c r="E146" s="3">
        <v>6300</v>
      </c>
      <c r="F146" s="3">
        <v>48</v>
      </c>
      <c r="G146" s="3">
        <v>13.3</v>
      </c>
      <c r="H146" s="3">
        <v>169.95</v>
      </c>
      <c r="I146" s="3">
        <v>8.8000000000000007</v>
      </c>
      <c r="J146" s="3" t="s">
        <v>48</v>
      </c>
      <c r="K146" s="3">
        <v>0</v>
      </c>
      <c r="L146" s="3">
        <v>0</v>
      </c>
      <c r="M146" s="3">
        <v>39</v>
      </c>
      <c r="N146" s="3" t="s">
        <v>340</v>
      </c>
      <c r="O146" s="3" t="s">
        <v>72</v>
      </c>
      <c r="P146" s="3" t="s">
        <v>37</v>
      </c>
      <c r="Q146" s="3">
        <v>5</v>
      </c>
      <c r="R146" s="3">
        <v>65753</v>
      </c>
      <c r="S146" s="3">
        <v>663</v>
      </c>
      <c r="T146" s="3" t="s">
        <v>38</v>
      </c>
      <c r="U146" s="3">
        <v>0</v>
      </c>
      <c r="V146" s="3">
        <v>314</v>
      </c>
      <c r="W146" s="5" t="str">
        <f t="shared" si="8"/>
        <v>650-699</v>
      </c>
      <c r="X146" s="5" t="str">
        <f t="shared" si="9"/>
        <v>Low (&lt;=35%)</v>
      </c>
      <c r="Y146" s="5" t="str">
        <f t="shared" si="10"/>
        <v>Employed</v>
      </c>
      <c r="Z146" s="3" t="str">
        <f t="shared" si="11"/>
        <v>Investment &amp; Growth</v>
      </c>
    </row>
    <row r="147" spans="1:26" ht="17.399999999999999" x14ac:dyDescent="0.35">
      <c r="A147" s="3" t="s">
        <v>341</v>
      </c>
      <c r="B147" s="3" t="s">
        <v>342</v>
      </c>
      <c r="C147" s="4">
        <v>45674</v>
      </c>
      <c r="D147" s="3" t="s">
        <v>31</v>
      </c>
      <c r="E147" s="3">
        <v>25400</v>
      </c>
      <c r="F147" s="3">
        <v>48</v>
      </c>
      <c r="G147" s="3">
        <v>10.99</v>
      </c>
      <c r="H147" s="3">
        <v>656.35</v>
      </c>
      <c r="I147" s="3">
        <v>41.1</v>
      </c>
      <c r="J147" s="3" t="s">
        <v>32</v>
      </c>
      <c r="K147" s="3">
        <v>79</v>
      </c>
      <c r="L147" s="3">
        <v>1</v>
      </c>
      <c r="M147" s="3">
        <v>37</v>
      </c>
      <c r="N147" s="3" t="s">
        <v>89</v>
      </c>
      <c r="O147" s="3" t="s">
        <v>43</v>
      </c>
      <c r="P147" s="3" t="s">
        <v>37</v>
      </c>
      <c r="Q147" s="3">
        <v>13</v>
      </c>
      <c r="R147" s="3">
        <v>57530</v>
      </c>
      <c r="S147" s="3">
        <v>594</v>
      </c>
      <c r="T147" s="3" t="s">
        <v>45</v>
      </c>
      <c r="U147" s="3">
        <v>0</v>
      </c>
      <c r="V147" s="3">
        <v>1314</v>
      </c>
      <c r="W147" s="5" t="str">
        <f t="shared" si="8"/>
        <v>520-599</v>
      </c>
      <c r="X147" s="5" t="str">
        <f t="shared" si="9"/>
        <v>Manageable (36-50%)</v>
      </c>
      <c r="Y147" s="5" t="str">
        <f t="shared" si="10"/>
        <v>Employed</v>
      </c>
      <c r="Z147" s="3" t="str">
        <f t="shared" si="11"/>
        <v>Debt &amp; Assets</v>
      </c>
    </row>
    <row r="148" spans="1:26" ht="17.399999999999999" x14ac:dyDescent="0.35">
      <c r="A148" s="3" t="s">
        <v>343</v>
      </c>
      <c r="B148" s="3" t="s">
        <v>344</v>
      </c>
      <c r="C148" s="4">
        <v>45431</v>
      </c>
      <c r="D148" s="3" t="s">
        <v>41</v>
      </c>
      <c r="E148" s="3">
        <v>6800</v>
      </c>
      <c r="F148" s="3">
        <v>60</v>
      </c>
      <c r="G148" s="3">
        <v>6.15</v>
      </c>
      <c r="H148" s="3">
        <v>131.94</v>
      </c>
      <c r="I148" s="3">
        <v>33.200000000000003</v>
      </c>
      <c r="J148" s="3" t="s">
        <v>32</v>
      </c>
      <c r="K148" s="3">
        <v>149</v>
      </c>
      <c r="L148" s="3">
        <v>1</v>
      </c>
      <c r="M148" s="3">
        <v>45</v>
      </c>
      <c r="N148" s="3" t="s">
        <v>71</v>
      </c>
      <c r="O148" s="3" t="s">
        <v>43</v>
      </c>
      <c r="P148" s="3" t="s">
        <v>37</v>
      </c>
      <c r="Q148" s="3">
        <v>1</v>
      </c>
      <c r="R148" s="3">
        <v>72744</v>
      </c>
      <c r="S148" s="3">
        <v>849</v>
      </c>
      <c r="T148" s="3" t="s">
        <v>29</v>
      </c>
      <c r="U148" s="3">
        <v>3</v>
      </c>
      <c r="V148" s="3">
        <v>1883</v>
      </c>
      <c r="W148" s="5" t="str">
        <f t="shared" si="8"/>
        <v>750+</v>
      </c>
      <c r="X148" s="5" t="str">
        <f t="shared" si="9"/>
        <v>Low (&lt;=35%)</v>
      </c>
      <c r="Y148" s="5" t="str">
        <f t="shared" si="10"/>
        <v>Employed</v>
      </c>
      <c r="Z148" s="3" t="str">
        <f t="shared" si="11"/>
        <v>Debt &amp; Assets</v>
      </c>
    </row>
    <row r="149" spans="1:26" ht="17.399999999999999" x14ac:dyDescent="0.35">
      <c r="A149" s="3" t="s">
        <v>345</v>
      </c>
      <c r="B149" s="3" t="s">
        <v>346</v>
      </c>
      <c r="C149" s="4">
        <v>45466</v>
      </c>
      <c r="D149" s="3" t="s">
        <v>56</v>
      </c>
      <c r="E149" s="3">
        <v>12600</v>
      </c>
      <c r="F149" s="3">
        <v>36</v>
      </c>
      <c r="G149" s="3">
        <v>10.52</v>
      </c>
      <c r="H149" s="3">
        <v>409.65</v>
      </c>
      <c r="I149" s="3">
        <v>31.9</v>
      </c>
      <c r="J149" s="3" t="s">
        <v>48</v>
      </c>
      <c r="K149" s="3">
        <v>0</v>
      </c>
      <c r="L149" s="3">
        <v>0</v>
      </c>
      <c r="M149" s="3">
        <v>51</v>
      </c>
      <c r="N149" s="3" t="s">
        <v>123</v>
      </c>
      <c r="O149" s="3" t="s">
        <v>43</v>
      </c>
      <c r="P149" s="3" t="s">
        <v>37</v>
      </c>
      <c r="Q149" s="3">
        <v>27</v>
      </c>
      <c r="R149" s="3">
        <v>104309</v>
      </c>
      <c r="S149" s="3">
        <v>750</v>
      </c>
      <c r="T149" s="3" t="s">
        <v>29</v>
      </c>
      <c r="U149" s="3">
        <v>2</v>
      </c>
      <c r="V149" s="3">
        <v>2362</v>
      </c>
      <c r="W149" s="5" t="str">
        <f t="shared" si="8"/>
        <v>750+</v>
      </c>
      <c r="X149" s="5" t="str">
        <f t="shared" si="9"/>
        <v>Low (&lt;=35%)</v>
      </c>
      <c r="Y149" s="5" t="str">
        <f t="shared" si="10"/>
        <v>Employed</v>
      </c>
      <c r="Z149" s="3" t="str">
        <f t="shared" si="11"/>
        <v>Consumer &amp; Personal</v>
      </c>
    </row>
    <row r="150" spans="1:26" ht="17.399999999999999" x14ac:dyDescent="0.35">
      <c r="A150" s="3" t="s">
        <v>347</v>
      </c>
      <c r="B150" s="3" t="s">
        <v>348</v>
      </c>
      <c r="C150" s="4">
        <v>45765</v>
      </c>
      <c r="D150" s="3" t="s">
        <v>35</v>
      </c>
      <c r="E150" s="3">
        <v>31100</v>
      </c>
      <c r="F150" s="3">
        <v>60</v>
      </c>
      <c r="G150" s="3">
        <v>8.3000000000000007</v>
      </c>
      <c r="H150" s="3">
        <v>635.07000000000005</v>
      </c>
      <c r="I150" s="3">
        <v>49.3</v>
      </c>
      <c r="J150" s="3" t="s">
        <v>25</v>
      </c>
      <c r="K150" s="3">
        <v>0</v>
      </c>
      <c r="L150" s="3">
        <v>0</v>
      </c>
      <c r="M150" s="3">
        <v>27</v>
      </c>
      <c r="N150" s="3" t="s">
        <v>262</v>
      </c>
      <c r="O150" s="3" t="s">
        <v>79</v>
      </c>
      <c r="P150" s="3" t="s">
        <v>37</v>
      </c>
      <c r="Q150" s="3">
        <v>5</v>
      </c>
      <c r="R150" s="3">
        <v>35230</v>
      </c>
      <c r="S150" s="3">
        <v>844</v>
      </c>
      <c r="T150" s="3" t="s">
        <v>45</v>
      </c>
      <c r="U150" s="3">
        <v>1</v>
      </c>
      <c r="V150" s="3">
        <v>812</v>
      </c>
      <c r="W150" s="5" t="str">
        <f t="shared" si="8"/>
        <v>750+</v>
      </c>
      <c r="X150" s="5" t="str">
        <f t="shared" si="9"/>
        <v>Manageable (36-50%)</v>
      </c>
      <c r="Y150" s="5" t="str">
        <f t="shared" si="10"/>
        <v>Employed</v>
      </c>
      <c r="Z150" s="3" t="str">
        <f t="shared" si="11"/>
        <v>Consumer &amp; Personal</v>
      </c>
    </row>
    <row r="151" spans="1:26" ht="17.399999999999999" x14ac:dyDescent="0.35">
      <c r="A151" s="3" t="s">
        <v>349</v>
      </c>
      <c r="B151" s="3" t="s">
        <v>350</v>
      </c>
      <c r="C151" s="4">
        <v>45297</v>
      </c>
      <c r="D151" s="3" t="s">
        <v>52</v>
      </c>
      <c r="E151" s="3">
        <v>10300</v>
      </c>
      <c r="F151" s="3">
        <v>60</v>
      </c>
      <c r="G151" s="3">
        <v>11.2</v>
      </c>
      <c r="H151" s="3">
        <v>224.98</v>
      </c>
      <c r="I151" s="3">
        <v>27.6</v>
      </c>
      <c r="J151" s="3" t="s">
        <v>25</v>
      </c>
      <c r="K151" s="3">
        <v>0</v>
      </c>
      <c r="L151" s="3">
        <v>0</v>
      </c>
      <c r="M151" s="3">
        <v>60</v>
      </c>
      <c r="N151" s="3" t="s">
        <v>26</v>
      </c>
      <c r="O151" s="3" t="s">
        <v>43</v>
      </c>
      <c r="P151" s="3" t="s">
        <v>28</v>
      </c>
      <c r="Q151" s="3">
        <v>13</v>
      </c>
      <c r="R151" s="3">
        <v>47899</v>
      </c>
      <c r="S151" s="3">
        <v>812</v>
      </c>
      <c r="T151" s="3" t="s">
        <v>45</v>
      </c>
      <c r="U151" s="3">
        <v>0</v>
      </c>
      <c r="V151" s="3">
        <v>876</v>
      </c>
      <c r="W151" s="5" t="str">
        <f t="shared" si="8"/>
        <v>750+</v>
      </c>
      <c r="X151" s="5" t="str">
        <f t="shared" si="9"/>
        <v>Low (&lt;=35%)</v>
      </c>
      <c r="Y151" s="5" t="str">
        <f t="shared" si="10"/>
        <v>Self-Employed</v>
      </c>
      <c r="Z151" s="3" t="str">
        <f t="shared" si="11"/>
        <v>Investment &amp; Growth</v>
      </c>
    </row>
    <row r="152" spans="1:26" ht="17.399999999999999" x14ac:dyDescent="0.35">
      <c r="A152" s="3" t="s">
        <v>351</v>
      </c>
      <c r="B152" s="3" t="s">
        <v>352</v>
      </c>
      <c r="C152" s="4">
        <v>45392</v>
      </c>
      <c r="D152" s="3" t="s">
        <v>35</v>
      </c>
      <c r="E152" s="3">
        <v>11900</v>
      </c>
      <c r="F152" s="3">
        <v>48</v>
      </c>
      <c r="G152" s="3">
        <v>12.47</v>
      </c>
      <c r="H152" s="3">
        <v>316.13</v>
      </c>
      <c r="I152" s="3">
        <v>35</v>
      </c>
      <c r="J152" s="3" t="s">
        <v>48</v>
      </c>
      <c r="K152" s="3">
        <v>0</v>
      </c>
      <c r="L152" s="3">
        <v>0</v>
      </c>
      <c r="M152" s="3">
        <v>51</v>
      </c>
      <c r="N152" s="3" t="s">
        <v>203</v>
      </c>
      <c r="O152" s="3" t="s">
        <v>43</v>
      </c>
      <c r="P152" s="3" t="s">
        <v>28</v>
      </c>
      <c r="Q152" s="3">
        <v>16</v>
      </c>
      <c r="R152" s="3">
        <v>60540</v>
      </c>
      <c r="S152" s="3">
        <v>695</v>
      </c>
      <c r="T152" s="3" t="s">
        <v>45</v>
      </c>
      <c r="U152" s="3">
        <v>2</v>
      </c>
      <c r="V152" s="3">
        <v>1448</v>
      </c>
      <c r="W152" s="5" t="str">
        <f t="shared" si="8"/>
        <v>650-699</v>
      </c>
      <c r="X152" s="5" t="str">
        <f t="shared" si="9"/>
        <v>Low (&lt;=35%)</v>
      </c>
      <c r="Y152" s="5" t="str">
        <f t="shared" si="10"/>
        <v>Self-Employed</v>
      </c>
      <c r="Z152" s="3" t="str">
        <f t="shared" si="11"/>
        <v>Consumer &amp; Personal</v>
      </c>
    </row>
    <row r="153" spans="1:26" ht="17.399999999999999" x14ac:dyDescent="0.35">
      <c r="A153" s="3" t="s">
        <v>353</v>
      </c>
      <c r="B153" s="3" t="s">
        <v>354</v>
      </c>
      <c r="C153" s="4">
        <v>45384</v>
      </c>
      <c r="D153" s="3" t="s">
        <v>31</v>
      </c>
      <c r="E153" s="3">
        <v>8400</v>
      </c>
      <c r="F153" s="3">
        <v>36</v>
      </c>
      <c r="G153" s="3">
        <v>9.11</v>
      </c>
      <c r="H153" s="3">
        <v>267.55</v>
      </c>
      <c r="I153" s="3">
        <v>38.200000000000003</v>
      </c>
      <c r="J153" s="3" t="s">
        <v>32</v>
      </c>
      <c r="K153" s="3">
        <v>108</v>
      </c>
      <c r="L153" s="3">
        <v>1</v>
      </c>
      <c r="M153" s="3">
        <v>27</v>
      </c>
      <c r="N153" s="3" t="s">
        <v>167</v>
      </c>
      <c r="O153" s="3" t="s">
        <v>72</v>
      </c>
      <c r="P153" s="3" t="s">
        <v>37</v>
      </c>
      <c r="Q153" s="3">
        <v>2</v>
      </c>
      <c r="R153" s="3">
        <v>62885</v>
      </c>
      <c r="S153" s="3">
        <v>725</v>
      </c>
      <c r="T153" s="3" t="s">
        <v>45</v>
      </c>
      <c r="U153" s="3">
        <v>4</v>
      </c>
      <c r="V153" s="3">
        <v>1733</v>
      </c>
      <c r="W153" s="5" t="str">
        <f t="shared" si="8"/>
        <v>700-749</v>
      </c>
      <c r="X153" s="5" t="str">
        <f t="shared" si="9"/>
        <v>Manageable (36-50%)</v>
      </c>
      <c r="Y153" s="5" t="str">
        <f t="shared" si="10"/>
        <v>Employed</v>
      </c>
      <c r="Z153" s="3" t="str">
        <f t="shared" si="11"/>
        <v>Debt &amp; Assets</v>
      </c>
    </row>
    <row r="154" spans="1:26" ht="17.399999999999999" x14ac:dyDescent="0.35">
      <c r="A154" s="3" t="s">
        <v>355</v>
      </c>
      <c r="B154" s="3" t="s">
        <v>356</v>
      </c>
      <c r="C154" s="4">
        <v>45766</v>
      </c>
      <c r="D154" s="3" t="s">
        <v>24</v>
      </c>
      <c r="E154" s="3">
        <v>37900</v>
      </c>
      <c r="F154" s="3">
        <v>12</v>
      </c>
      <c r="G154" s="3">
        <v>12.45</v>
      </c>
      <c r="H154" s="3">
        <v>3375.35</v>
      </c>
      <c r="I154" s="3">
        <v>98.6</v>
      </c>
      <c r="J154" s="3" t="s">
        <v>99</v>
      </c>
      <c r="K154" s="3">
        <v>15</v>
      </c>
      <c r="L154" s="3">
        <v>0</v>
      </c>
      <c r="M154" s="3">
        <v>64</v>
      </c>
      <c r="N154" s="3" t="s">
        <v>262</v>
      </c>
      <c r="O154" s="3" t="s">
        <v>27</v>
      </c>
      <c r="P154" s="3" t="s">
        <v>37</v>
      </c>
      <c r="Q154" s="3">
        <v>3</v>
      </c>
      <c r="R154" s="3">
        <v>45819</v>
      </c>
      <c r="S154" s="3">
        <v>746</v>
      </c>
      <c r="T154" s="3" t="s">
        <v>29</v>
      </c>
      <c r="U154" s="3">
        <v>1</v>
      </c>
      <c r="V154" s="3">
        <v>388</v>
      </c>
      <c r="W154" s="5" t="str">
        <f t="shared" si="8"/>
        <v>700-749</v>
      </c>
      <c r="X154" s="5" t="str">
        <f t="shared" si="9"/>
        <v>Critical (&gt;75%)</v>
      </c>
      <c r="Y154" s="5" t="str">
        <f t="shared" si="10"/>
        <v>Employed</v>
      </c>
      <c r="Z154" s="3" t="str">
        <f t="shared" si="11"/>
        <v>Consumer &amp; Personal</v>
      </c>
    </row>
    <row r="155" spans="1:26" ht="17.399999999999999" x14ac:dyDescent="0.35">
      <c r="A155" s="3" t="s">
        <v>357</v>
      </c>
      <c r="B155" s="3" t="s">
        <v>358</v>
      </c>
      <c r="C155" s="4">
        <v>45364</v>
      </c>
      <c r="D155" s="3" t="s">
        <v>52</v>
      </c>
      <c r="E155" s="3">
        <v>30000</v>
      </c>
      <c r="F155" s="3">
        <v>12</v>
      </c>
      <c r="G155" s="3">
        <v>14.64</v>
      </c>
      <c r="H155" s="3">
        <v>2702.66</v>
      </c>
      <c r="I155" s="3">
        <v>100.5</v>
      </c>
      <c r="J155" s="3" t="s">
        <v>32</v>
      </c>
      <c r="K155" s="3">
        <v>115</v>
      </c>
      <c r="L155" s="3">
        <v>1</v>
      </c>
      <c r="M155" s="3">
        <v>54</v>
      </c>
      <c r="N155" s="3" t="s">
        <v>149</v>
      </c>
      <c r="O155" s="3" t="s">
        <v>79</v>
      </c>
      <c r="P155" s="3" t="s">
        <v>28</v>
      </c>
      <c r="Q155" s="3">
        <v>22</v>
      </c>
      <c r="R155" s="3">
        <v>39760</v>
      </c>
      <c r="S155" s="3">
        <v>580</v>
      </c>
      <c r="T155" s="3" t="s">
        <v>29</v>
      </c>
      <c r="U155" s="3">
        <v>0</v>
      </c>
      <c r="V155" s="3">
        <v>627</v>
      </c>
      <c r="W155" s="5" t="str">
        <f t="shared" si="8"/>
        <v>520-599</v>
      </c>
      <c r="X155" s="5" t="str">
        <f t="shared" si="9"/>
        <v>Critical (&gt;75%)</v>
      </c>
      <c r="Y155" s="5" t="str">
        <f t="shared" si="10"/>
        <v>Self-Employed</v>
      </c>
      <c r="Z155" s="3" t="str">
        <f t="shared" si="11"/>
        <v>Investment &amp; Growth</v>
      </c>
    </row>
    <row r="156" spans="1:26" ht="17.399999999999999" x14ac:dyDescent="0.35">
      <c r="A156" s="3" t="s">
        <v>359</v>
      </c>
      <c r="B156" s="3" t="s">
        <v>360</v>
      </c>
      <c r="C156" s="4">
        <v>45504</v>
      </c>
      <c r="D156" s="3" t="s">
        <v>41</v>
      </c>
      <c r="E156" s="3">
        <v>14900</v>
      </c>
      <c r="F156" s="3">
        <v>60</v>
      </c>
      <c r="G156" s="3">
        <v>8.5500000000000007</v>
      </c>
      <c r="H156" s="3">
        <v>306.06</v>
      </c>
      <c r="I156" s="3">
        <v>21</v>
      </c>
      <c r="J156" s="3" t="s">
        <v>25</v>
      </c>
      <c r="K156" s="3">
        <v>0</v>
      </c>
      <c r="L156" s="3">
        <v>0</v>
      </c>
      <c r="M156" s="3">
        <v>36</v>
      </c>
      <c r="N156" s="3" t="s">
        <v>135</v>
      </c>
      <c r="O156" s="3" t="s">
        <v>72</v>
      </c>
      <c r="P156" s="3" t="s">
        <v>44</v>
      </c>
      <c r="Q156" s="3">
        <v>0</v>
      </c>
      <c r="R156" s="3">
        <v>138216</v>
      </c>
      <c r="S156" s="3">
        <v>850</v>
      </c>
      <c r="T156" s="3" t="s">
        <v>45</v>
      </c>
      <c r="U156" s="3">
        <v>3</v>
      </c>
      <c r="V156" s="3">
        <v>2116</v>
      </c>
      <c r="W156" s="5" t="str">
        <f t="shared" si="8"/>
        <v>750+</v>
      </c>
      <c r="X156" s="5" t="str">
        <f t="shared" si="9"/>
        <v>Low (&lt;=35%)</v>
      </c>
      <c r="Y156" s="5" t="str">
        <f t="shared" si="10"/>
        <v>Employed</v>
      </c>
      <c r="Z156" s="3" t="str">
        <f t="shared" si="11"/>
        <v>Debt &amp; Assets</v>
      </c>
    </row>
    <row r="157" spans="1:26" ht="17.399999999999999" x14ac:dyDescent="0.35">
      <c r="A157" s="3" t="s">
        <v>361</v>
      </c>
      <c r="B157" s="3" t="s">
        <v>362</v>
      </c>
      <c r="C157" s="4">
        <v>45405</v>
      </c>
      <c r="D157" s="3" t="s">
        <v>67</v>
      </c>
      <c r="E157" s="3">
        <v>45700</v>
      </c>
      <c r="F157" s="3">
        <v>36</v>
      </c>
      <c r="G157" s="3">
        <v>12.54</v>
      </c>
      <c r="H157" s="3">
        <v>1529.71</v>
      </c>
      <c r="I157" s="3">
        <v>50.5</v>
      </c>
      <c r="J157" s="3" t="s">
        <v>48</v>
      </c>
      <c r="K157" s="3">
        <v>0</v>
      </c>
      <c r="L157" s="3">
        <v>0</v>
      </c>
      <c r="M157" s="3">
        <v>33</v>
      </c>
      <c r="N157" s="3" t="s">
        <v>203</v>
      </c>
      <c r="O157" s="3" t="s">
        <v>79</v>
      </c>
      <c r="P157" s="3" t="s">
        <v>28</v>
      </c>
      <c r="Q157" s="3">
        <v>0</v>
      </c>
      <c r="R157" s="3">
        <v>71975</v>
      </c>
      <c r="S157" s="3">
        <v>714</v>
      </c>
      <c r="T157" s="3" t="s">
        <v>38</v>
      </c>
      <c r="U157" s="3">
        <v>2</v>
      </c>
      <c r="V157" s="3">
        <v>1501</v>
      </c>
      <c r="W157" s="5" t="str">
        <f t="shared" si="8"/>
        <v>700-749</v>
      </c>
      <c r="X157" s="5" t="str">
        <f t="shared" si="9"/>
        <v>High (51-75%)</v>
      </c>
      <c r="Y157" s="5" t="str">
        <f t="shared" si="10"/>
        <v>Self-Employed</v>
      </c>
      <c r="Z157" s="3" t="str">
        <f t="shared" si="11"/>
        <v>Debt &amp; Assets</v>
      </c>
    </row>
    <row r="158" spans="1:26" ht="17.399999999999999" x14ac:dyDescent="0.35">
      <c r="A158" s="3" t="s">
        <v>363</v>
      </c>
      <c r="B158" s="3" t="s">
        <v>364</v>
      </c>
      <c r="C158" s="4">
        <v>45634</v>
      </c>
      <c r="D158" s="3" t="s">
        <v>35</v>
      </c>
      <c r="E158" s="3">
        <v>25000</v>
      </c>
      <c r="F158" s="3">
        <v>24</v>
      </c>
      <c r="G158" s="3">
        <v>7.43</v>
      </c>
      <c r="H158" s="3">
        <v>1124.19</v>
      </c>
      <c r="I158" s="3">
        <v>59.5</v>
      </c>
      <c r="J158" s="3" t="s">
        <v>48</v>
      </c>
      <c r="K158" s="3">
        <v>0</v>
      </c>
      <c r="L158" s="3">
        <v>0</v>
      </c>
      <c r="M158" s="3">
        <v>31</v>
      </c>
      <c r="N158" s="3" t="s">
        <v>105</v>
      </c>
      <c r="O158" s="3" t="s">
        <v>72</v>
      </c>
      <c r="P158" s="3" t="s">
        <v>85</v>
      </c>
      <c r="Q158" s="3">
        <v>3</v>
      </c>
      <c r="R158" s="3">
        <v>37483</v>
      </c>
      <c r="S158" s="3">
        <v>796</v>
      </c>
      <c r="T158" s="3" t="s">
        <v>45</v>
      </c>
      <c r="U158" s="3">
        <v>1</v>
      </c>
      <c r="V158" s="3">
        <v>734</v>
      </c>
      <c r="W158" s="5" t="str">
        <f t="shared" si="8"/>
        <v>750+</v>
      </c>
      <c r="X158" s="5" t="str">
        <f t="shared" si="9"/>
        <v>High (51-75%)</v>
      </c>
      <c r="Y158" s="5" t="str">
        <f t="shared" si="10"/>
        <v>Retired</v>
      </c>
      <c r="Z158" s="3" t="str">
        <f t="shared" si="11"/>
        <v>Consumer &amp; Personal</v>
      </c>
    </row>
    <row r="159" spans="1:26" ht="17.399999999999999" x14ac:dyDescent="0.35">
      <c r="A159" s="3" t="s">
        <v>365</v>
      </c>
      <c r="B159" s="3" t="s">
        <v>366</v>
      </c>
      <c r="C159" s="4">
        <v>45565</v>
      </c>
      <c r="D159" s="3" t="s">
        <v>77</v>
      </c>
      <c r="E159" s="3">
        <v>32900</v>
      </c>
      <c r="F159" s="3">
        <v>24</v>
      </c>
      <c r="G159" s="3">
        <v>12.42</v>
      </c>
      <c r="H159" s="3">
        <v>1555.18</v>
      </c>
      <c r="I159" s="3">
        <v>63.7</v>
      </c>
      <c r="J159" s="3" t="s">
        <v>48</v>
      </c>
      <c r="K159" s="3">
        <v>0</v>
      </c>
      <c r="L159" s="3">
        <v>0</v>
      </c>
      <c r="M159" s="3">
        <v>68</v>
      </c>
      <c r="N159" s="3" t="s">
        <v>262</v>
      </c>
      <c r="O159" s="3" t="s">
        <v>79</v>
      </c>
      <c r="P159" s="3" t="s">
        <v>85</v>
      </c>
      <c r="Q159" s="3">
        <v>9</v>
      </c>
      <c r="R159" s="3">
        <v>34167</v>
      </c>
      <c r="S159" s="3">
        <v>551</v>
      </c>
      <c r="T159" s="3" t="s">
        <v>38</v>
      </c>
      <c r="U159" s="3">
        <v>0</v>
      </c>
      <c r="V159" s="3">
        <v>258</v>
      </c>
      <c r="W159" s="5" t="str">
        <f t="shared" si="8"/>
        <v>520-599</v>
      </c>
      <c r="X159" s="5" t="str">
        <f t="shared" si="9"/>
        <v>High (51-75%)</v>
      </c>
      <c r="Y159" s="5" t="str">
        <f t="shared" si="10"/>
        <v>Retired</v>
      </c>
      <c r="Z159" s="3" t="str">
        <f t="shared" si="11"/>
        <v>Consumer &amp; Personal</v>
      </c>
    </row>
    <row r="160" spans="1:26" ht="17.399999999999999" x14ac:dyDescent="0.35">
      <c r="A160" s="3" t="s">
        <v>367</v>
      </c>
      <c r="B160" s="3" t="s">
        <v>366</v>
      </c>
      <c r="C160" s="4">
        <v>45773</v>
      </c>
      <c r="D160" s="3" t="s">
        <v>52</v>
      </c>
      <c r="E160" s="3">
        <v>12900</v>
      </c>
      <c r="F160" s="3">
        <v>60</v>
      </c>
      <c r="G160" s="3">
        <v>14.96</v>
      </c>
      <c r="H160" s="3">
        <v>306.62</v>
      </c>
      <c r="I160" s="3">
        <v>19.8</v>
      </c>
      <c r="J160" s="3" t="s">
        <v>48</v>
      </c>
      <c r="K160" s="3">
        <v>0</v>
      </c>
      <c r="L160" s="3">
        <v>0</v>
      </c>
      <c r="M160" s="3">
        <v>68</v>
      </c>
      <c r="N160" s="3" t="s">
        <v>262</v>
      </c>
      <c r="O160" s="3" t="s">
        <v>79</v>
      </c>
      <c r="P160" s="3" t="s">
        <v>85</v>
      </c>
      <c r="Q160" s="3">
        <v>9</v>
      </c>
      <c r="R160" s="3">
        <v>34167</v>
      </c>
      <c r="S160" s="3">
        <v>551</v>
      </c>
      <c r="T160" s="3" t="s">
        <v>38</v>
      </c>
      <c r="U160" s="3">
        <v>0</v>
      </c>
      <c r="V160" s="3">
        <v>258</v>
      </c>
      <c r="W160" s="5" t="str">
        <f t="shared" si="8"/>
        <v>520-599</v>
      </c>
      <c r="X160" s="5" t="str">
        <f t="shared" si="9"/>
        <v>Low (&lt;=35%)</v>
      </c>
      <c r="Y160" s="5" t="str">
        <f t="shared" si="10"/>
        <v>Retired</v>
      </c>
      <c r="Z160" s="3" t="str">
        <f t="shared" si="11"/>
        <v>Investment &amp; Growth</v>
      </c>
    </row>
    <row r="161" spans="1:26" ht="17.399999999999999" x14ac:dyDescent="0.35">
      <c r="A161" s="3" t="s">
        <v>368</v>
      </c>
      <c r="B161" s="3" t="s">
        <v>369</v>
      </c>
      <c r="C161" s="4">
        <v>45760</v>
      </c>
      <c r="D161" s="3" t="s">
        <v>77</v>
      </c>
      <c r="E161" s="3">
        <v>34300</v>
      </c>
      <c r="F161" s="3">
        <v>12</v>
      </c>
      <c r="G161" s="3">
        <v>9.7100000000000009</v>
      </c>
      <c r="H161" s="3">
        <v>3010.89</v>
      </c>
      <c r="I161" s="3">
        <v>63</v>
      </c>
      <c r="J161" s="3" t="s">
        <v>32</v>
      </c>
      <c r="K161" s="3">
        <v>130</v>
      </c>
      <c r="L161" s="3">
        <v>1</v>
      </c>
      <c r="M161" s="3">
        <v>50</v>
      </c>
      <c r="N161" s="3" t="s">
        <v>84</v>
      </c>
      <c r="O161" s="3" t="s">
        <v>43</v>
      </c>
      <c r="P161" s="3" t="s">
        <v>37</v>
      </c>
      <c r="Q161" s="3">
        <v>6</v>
      </c>
      <c r="R161" s="3">
        <v>68802</v>
      </c>
      <c r="S161" s="3">
        <v>674</v>
      </c>
      <c r="T161" s="3" t="s">
        <v>29</v>
      </c>
      <c r="U161" s="3">
        <v>1</v>
      </c>
      <c r="V161" s="3">
        <v>604</v>
      </c>
      <c r="W161" s="5" t="str">
        <f t="shared" si="8"/>
        <v>650-699</v>
      </c>
      <c r="X161" s="5" t="str">
        <f t="shared" si="9"/>
        <v>High (51-75%)</v>
      </c>
      <c r="Y161" s="5" t="str">
        <f t="shared" si="10"/>
        <v>Employed</v>
      </c>
      <c r="Z161" s="3" t="str">
        <f t="shared" si="11"/>
        <v>Consumer &amp; Personal</v>
      </c>
    </row>
    <row r="162" spans="1:26" ht="17.399999999999999" x14ac:dyDescent="0.35">
      <c r="A162" s="3" t="s">
        <v>370</v>
      </c>
      <c r="B162" s="3" t="s">
        <v>371</v>
      </c>
      <c r="C162" s="4">
        <v>45443</v>
      </c>
      <c r="D162" s="3" t="s">
        <v>41</v>
      </c>
      <c r="E162" s="3">
        <v>5700</v>
      </c>
      <c r="F162" s="3">
        <v>24</v>
      </c>
      <c r="G162" s="3">
        <v>12</v>
      </c>
      <c r="H162" s="3">
        <v>268.32</v>
      </c>
      <c r="I162" s="3">
        <v>19.100000000000001</v>
      </c>
      <c r="J162" s="3" t="s">
        <v>99</v>
      </c>
      <c r="K162" s="3">
        <v>15</v>
      </c>
      <c r="L162" s="3">
        <v>0</v>
      </c>
      <c r="M162" s="3">
        <v>65</v>
      </c>
      <c r="N162" s="3" t="s">
        <v>262</v>
      </c>
      <c r="O162" s="3" t="s">
        <v>43</v>
      </c>
      <c r="P162" s="3" t="s">
        <v>37</v>
      </c>
      <c r="Q162" s="3">
        <v>14</v>
      </c>
      <c r="R162" s="3">
        <v>83163</v>
      </c>
      <c r="S162" s="3">
        <v>563</v>
      </c>
      <c r="T162" s="3" t="s">
        <v>45</v>
      </c>
      <c r="U162" s="3">
        <v>0</v>
      </c>
      <c r="V162" s="3">
        <v>1054</v>
      </c>
      <c r="W162" s="5" t="str">
        <f t="shared" si="8"/>
        <v>520-599</v>
      </c>
      <c r="X162" s="5" t="str">
        <f t="shared" si="9"/>
        <v>Low (&lt;=35%)</v>
      </c>
      <c r="Y162" s="5" t="str">
        <f t="shared" si="10"/>
        <v>Employed</v>
      </c>
      <c r="Z162" s="3" t="str">
        <f t="shared" si="11"/>
        <v>Debt &amp; Assets</v>
      </c>
    </row>
    <row r="163" spans="1:26" ht="17.399999999999999" x14ac:dyDescent="0.35">
      <c r="A163" s="3" t="s">
        <v>372</v>
      </c>
      <c r="B163" s="3" t="s">
        <v>371</v>
      </c>
      <c r="C163" s="4">
        <v>45777</v>
      </c>
      <c r="D163" s="3" t="s">
        <v>67</v>
      </c>
      <c r="E163" s="3">
        <v>48500</v>
      </c>
      <c r="F163" s="3">
        <v>60</v>
      </c>
      <c r="G163" s="3">
        <v>15.28</v>
      </c>
      <c r="H163" s="3">
        <v>1160.95</v>
      </c>
      <c r="I163" s="3">
        <v>32</v>
      </c>
      <c r="J163" s="3" t="s">
        <v>99</v>
      </c>
      <c r="K163" s="3">
        <v>0</v>
      </c>
      <c r="L163" s="3">
        <v>0</v>
      </c>
      <c r="M163" s="3">
        <v>65</v>
      </c>
      <c r="N163" s="3" t="s">
        <v>262</v>
      </c>
      <c r="O163" s="3" t="s">
        <v>43</v>
      </c>
      <c r="P163" s="3" t="s">
        <v>37</v>
      </c>
      <c r="Q163" s="3">
        <v>14</v>
      </c>
      <c r="R163" s="3">
        <v>83163</v>
      </c>
      <c r="S163" s="3">
        <v>563</v>
      </c>
      <c r="T163" s="3" t="s">
        <v>45</v>
      </c>
      <c r="U163" s="3">
        <v>0</v>
      </c>
      <c r="V163" s="3">
        <v>1054</v>
      </c>
      <c r="W163" s="5" t="str">
        <f t="shared" si="8"/>
        <v>520-599</v>
      </c>
      <c r="X163" s="5" t="str">
        <f t="shared" si="9"/>
        <v>Low (&lt;=35%)</v>
      </c>
      <c r="Y163" s="5" t="str">
        <f t="shared" si="10"/>
        <v>Employed</v>
      </c>
      <c r="Z163" s="3" t="str">
        <f t="shared" si="11"/>
        <v>Debt &amp; Assets</v>
      </c>
    </row>
    <row r="164" spans="1:26" ht="17.399999999999999" x14ac:dyDescent="0.35">
      <c r="A164" s="3" t="s">
        <v>373</v>
      </c>
      <c r="B164" s="3" t="s">
        <v>374</v>
      </c>
      <c r="C164" s="4">
        <v>45713</v>
      </c>
      <c r="D164" s="3" t="s">
        <v>61</v>
      </c>
      <c r="E164" s="3">
        <v>21200</v>
      </c>
      <c r="F164" s="3">
        <v>60</v>
      </c>
      <c r="G164" s="3">
        <v>13.29</v>
      </c>
      <c r="H164" s="3">
        <v>485.52</v>
      </c>
      <c r="I164" s="3">
        <v>31.3</v>
      </c>
      <c r="J164" s="3" t="s">
        <v>25</v>
      </c>
      <c r="K164" s="3">
        <v>0</v>
      </c>
      <c r="L164" s="3">
        <v>0</v>
      </c>
      <c r="M164" s="3">
        <v>35</v>
      </c>
      <c r="N164" s="3" t="s">
        <v>102</v>
      </c>
      <c r="O164" s="3" t="s">
        <v>72</v>
      </c>
      <c r="P164" s="3" t="s">
        <v>28</v>
      </c>
      <c r="Q164" s="3">
        <v>0</v>
      </c>
      <c r="R164" s="3">
        <v>79434</v>
      </c>
      <c r="S164" s="3">
        <v>596</v>
      </c>
      <c r="T164" s="3" t="s">
        <v>45</v>
      </c>
      <c r="U164" s="3">
        <v>0</v>
      </c>
      <c r="V164" s="3">
        <v>1589</v>
      </c>
      <c r="W164" s="5" t="str">
        <f t="shared" si="8"/>
        <v>520-599</v>
      </c>
      <c r="X164" s="5" t="str">
        <f t="shared" si="9"/>
        <v>Low (&lt;=35%)</v>
      </c>
      <c r="Y164" s="5" t="str">
        <f t="shared" si="10"/>
        <v>Self-Employed</v>
      </c>
      <c r="Z164" s="3" t="str">
        <f t="shared" si="11"/>
        <v>Investment &amp; Growth</v>
      </c>
    </row>
    <row r="165" spans="1:26" ht="17.399999999999999" x14ac:dyDescent="0.35">
      <c r="A165" s="3" t="s">
        <v>375</v>
      </c>
      <c r="B165" s="3" t="s">
        <v>376</v>
      </c>
      <c r="C165" s="4">
        <v>45605</v>
      </c>
      <c r="D165" s="3" t="s">
        <v>35</v>
      </c>
      <c r="E165" s="3">
        <v>20400</v>
      </c>
      <c r="F165" s="3">
        <v>36</v>
      </c>
      <c r="G165" s="3">
        <v>11.07</v>
      </c>
      <c r="H165" s="3">
        <v>668.55</v>
      </c>
      <c r="I165" s="3">
        <v>30.1</v>
      </c>
      <c r="J165" s="3" t="s">
        <v>48</v>
      </c>
      <c r="K165" s="3">
        <v>0</v>
      </c>
      <c r="L165" s="3">
        <v>0</v>
      </c>
      <c r="M165" s="3">
        <v>67</v>
      </c>
      <c r="N165" s="3" t="s">
        <v>89</v>
      </c>
      <c r="O165" s="3" t="s">
        <v>79</v>
      </c>
      <c r="P165" s="3" t="s">
        <v>73</v>
      </c>
      <c r="Q165" s="3">
        <v>4</v>
      </c>
      <c r="R165" s="3">
        <v>33144</v>
      </c>
      <c r="S165" s="3">
        <v>706</v>
      </c>
      <c r="T165" s="3" t="s">
        <v>45</v>
      </c>
      <c r="U165" s="3">
        <v>0</v>
      </c>
      <c r="V165" s="3">
        <v>163</v>
      </c>
      <c r="W165" s="5" t="str">
        <f t="shared" si="8"/>
        <v>700-749</v>
      </c>
      <c r="X165" s="5" t="str">
        <f t="shared" si="9"/>
        <v>Low (&lt;=35%)</v>
      </c>
      <c r="Y165" s="5" t="str">
        <f t="shared" si="10"/>
        <v>Employed</v>
      </c>
      <c r="Z165" s="3" t="str">
        <f t="shared" si="11"/>
        <v>Consumer &amp; Personal</v>
      </c>
    </row>
    <row r="166" spans="1:26" ht="17.399999999999999" x14ac:dyDescent="0.35">
      <c r="A166" s="3" t="s">
        <v>377</v>
      </c>
      <c r="B166" s="3" t="s">
        <v>378</v>
      </c>
      <c r="C166" s="4">
        <v>45456</v>
      </c>
      <c r="D166" s="3" t="s">
        <v>67</v>
      </c>
      <c r="E166" s="3">
        <v>9200</v>
      </c>
      <c r="F166" s="3">
        <v>24</v>
      </c>
      <c r="G166" s="3">
        <v>8.93</v>
      </c>
      <c r="H166" s="3">
        <v>420</v>
      </c>
      <c r="I166" s="3">
        <v>30.1</v>
      </c>
      <c r="J166" s="3" t="s">
        <v>25</v>
      </c>
      <c r="K166" s="3">
        <v>0</v>
      </c>
      <c r="L166" s="3">
        <v>0</v>
      </c>
      <c r="M166" s="3">
        <v>26</v>
      </c>
      <c r="N166" s="3" t="s">
        <v>78</v>
      </c>
      <c r="O166" s="3" t="s">
        <v>72</v>
      </c>
      <c r="P166" s="3" t="s">
        <v>73</v>
      </c>
      <c r="Q166" s="3">
        <v>3</v>
      </c>
      <c r="R166" s="3">
        <v>57088</v>
      </c>
      <c r="S166" s="3">
        <v>850</v>
      </c>
      <c r="T166" s="3" t="s">
        <v>45</v>
      </c>
      <c r="U166" s="3">
        <v>0</v>
      </c>
      <c r="V166" s="3">
        <v>1010</v>
      </c>
      <c r="W166" s="5" t="str">
        <f t="shared" si="8"/>
        <v>750+</v>
      </c>
      <c r="X166" s="5" t="str">
        <f t="shared" si="9"/>
        <v>Low (&lt;=35%)</v>
      </c>
      <c r="Y166" s="5" t="str">
        <f t="shared" si="10"/>
        <v>Employed</v>
      </c>
      <c r="Z166" s="3" t="str">
        <f t="shared" si="11"/>
        <v>Debt &amp; Assets</v>
      </c>
    </row>
    <row r="167" spans="1:26" ht="17.399999999999999" x14ac:dyDescent="0.35">
      <c r="A167" s="3" t="s">
        <v>379</v>
      </c>
      <c r="B167" s="3" t="s">
        <v>378</v>
      </c>
      <c r="C167" s="4">
        <v>45743</v>
      </c>
      <c r="D167" s="3" t="s">
        <v>56</v>
      </c>
      <c r="E167" s="3">
        <v>5100</v>
      </c>
      <c r="F167" s="3">
        <v>36</v>
      </c>
      <c r="G167" s="3">
        <v>8.7100000000000009</v>
      </c>
      <c r="H167" s="3">
        <v>161.49</v>
      </c>
      <c r="I167" s="3">
        <v>24.6</v>
      </c>
      <c r="J167" s="3" t="s">
        <v>48</v>
      </c>
      <c r="K167" s="3">
        <v>0</v>
      </c>
      <c r="L167" s="3">
        <v>0</v>
      </c>
      <c r="M167" s="3">
        <v>26</v>
      </c>
      <c r="N167" s="3" t="s">
        <v>78</v>
      </c>
      <c r="O167" s="3" t="s">
        <v>72</v>
      </c>
      <c r="P167" s="3" t="s">
        <v>73</v>
      </c>
      <c r="Q167" s="3">
        <v>3</v>
      </c>
      <c r="R167" s="3">
        <v>57088</v>
      </c>
      <c r="S167" s="3">
        <v>850</v>
      </c>
      <c r="T167" s="3" t="s">
        <v>45</v>
      </c>
      <c r="U167" s="3">
        <v>0</v>
      </c>
      <c r="V167" s="3">
        <v>1010</v>
      </c>
      <c r="W167" s="5" t="str">
        <f t="shared" si="8"/>
        <v>750+</v>
      </c>
      <c r="X167" s="5" t="str">
        <f t="shared" si="9"/>
        <v>Low (&lt;=35%)</v>
      </c>
      <c r="Y167" s="5" t="str">
        <f t="shared" si="10"/>
        <v>Employed</v>
      </c>
      <c r="Z167" s="3" t="str">
        <f t="shared" si="11"/>
        <v>Consumer &amp; Personal</v>
      </c>
    </row>
    <row r="168" spans="1:26" ht="17.399999999999999" x14ac:dyDescent="0.35">
      <c r="A168" s="3" t="s">
        <v>380</v>
      </c>
      <c r="B168" s="3" t="s">
        <v>381</v>
      </c>
      <c r="C168" s="4">
        <v>45458</v>
      </c>
      <c r="D168" s="3" t="s">
        <v>52</v>
      </c>
      <c r="E168" s="3">
        <v>9100</v>
      </c>
      <c r="F168" s="3">
        <v>48</v>
      </c>
      <c r="G168" s="3">
        <v>10.07</v>
      </c>
      <c r="H168" s="3">
        <v>231.11</v>
      </c>
      <c r="I168" s="3">
        <v>13.3</v>
      </c>
      <c r="J168" s="3" t="s">
        <v>48</v>
      </c>
      <c r="K168" s="3">
        <v>0</v>
      </c>
      <c r="L168" s="3">
        <v>0</v>
      </c>
      <c r="M168" s="3">
        <v>61</v>
      </c>
      <c r="N168" s="3" t="s">
        <v>167</v>
      </c>
      <c r="O168" s="3" t="s">
        <v>43</v>
      </c>
      <c r="P168" s="3" t="s">
        <v>28</v>
      </c>
      <c r="Q168" s="3">
        <v>6</v>
      </c>
      <c r="R168" s="3">
        <v>63686</v>
      </c>
      <c r="S168" s="3">
        <v>758</v>
      </c>
      <c r="T168" s="3" t="s">
        <v>38</v>
      </c>
      <c r="U168" s="3">
        <v>1</v>
      </c>
      <c r="V168" s="3">
        <v>474</v>
      </c>
      <c r="W168" s="5" t="str">
        <f t="shared" si="8"/>
        <v>750+</v>
      </c>
      <c r="X168" s="5" t="str">
        <f t="shared" si="9"/>
        <v>Low (&lt;=35%)</v>
      </c>
      <c r="Y168" s="5" t="str">
        <f t="shared" si="10"/>
        <v>Self-Employed</v>
      </c>
      <c r="Z168" s="3" t="str">
        <f t="shared" si="11"/>
        <v>Investment &amp; Growth</v>
      </c>
    </row>
    <row r="169" spans="1:26" ht="17.399999999999999" x14ac:dyDescent="0.35">
      <c r="A169" s="3" t="s">
        <v>382</v>
      </c>
      <c r="B169" s="3" t="s">
        <v>383</v>
      </c>
      <c r="C169" s="4">
        <v>45811</v>
      </c>
      <c r="D169" s="3" t="s">
        <v>56</v>
      </c>
      <c r="E169" s="3">
        <v>46500</v>
      </c>
      <c r="F169" s="3">
        <v>24</v>
      </c>
      <c r="G169" s="3">
        <v>10.199999999999999</v>
      </c>
      <c r="H169" s="3">
        <v>2150.0300000000002</v>
      </c>
      <c r="I169" s="3">
        <v>71.5</v>
      </c>
      <c r="J169" s="3" t="s">
        <v>32</v>
      </c>
      <c r="K169" s="3">
        <v>105</v>
      </c>
      <c r="L169" s="3">
        <v>1</v>
      </c>
      <c r="M169" s="3">
        <v>41</v>
      </c>
      <c r="N169" s="3" t="s">
        <v>93</v>
      </c>
      <c r="O169" s="3" t="s">
        <v>72</v>
      </c>
      <c r="P169" s="3" t="s">
        <v>37</v>
      </c>
      <c r="Q169" s="3">
        <v>16</v>
      </c>
      <c r="R169" s="3">
        <v>121448</v>
      </c>
      <c r="S169" s="3">
        <v>589</v>
      </c>
      <c r="T169" s="3" t="s">
        <v>45</v>
      </c>
      <c r="U169" s="3">
        <v>1</v>
      </c>
      <c r="V169" s="3">
        <v>5090</v>
      </c>
      <c r="W169" s="5" t="str">
        <f t="shared" si="8"/>
        <v>520-599</v>
      </c>
      <c r="X169" s="5" t="str">
        <f t="shared" si="9"/>
        <v>High (51-75%)</v>
      </c>
      <c r="Y169" s="5" t="str">
        <f t="shared" si="10"/>
        <v>Employed</v>
      </c>
      <c r="Z169" s="3" t="str">
        <f t="shared" si="11"/>
        <v>Consumer &amp; Personal</v>
      </c>
    </row>
    <row r="170" spans="1:26" ht="17.399999999999999" x14ac:dyDescent="0.35">
      <c r="A170" s="3" t="s">
        <v>384</v>
      </c>
      <c r="B170" s="3" t="s">
        <v>383</v>
      </c>
      <c r="C170" s="4">
        <v>45744</v>
      </c>
      <c r="D170" s="3" t="s">
        <v>24</v>
      </c>
      <c r="E170" s="3">
        <v>48500</v>
      </c>
      <c r="F170" s="3">
        <v>60</v>
      </c>
      <c r="G170" s="3">
        <v>13.52</v>
      </c>
      <c r="H170" s="3">
        <v>1116.48</v>
      </c>
      <c r="I170" s="3">
        <v>61.3</v>
      </c>
      <c r="J170" s="3" t="s">
        <v>32</v>
      </c>
      <c r="K170" s="3">
        <v>58</v>
      </c>
      <c r="L170" s="3">
        <v>1</v>
      </c>
      <c r="M170" s="3">
        <v>41</v>
      </c>
      <c r="N170" s="3" t="s">
        <v>93</v>
      </c>
      <c r="O170" s="3" t="s">
        <v>72</v>
      </c>
      <c r="P170" s="3" t="s">
        <v>37</v>
      </c>
      <c r="Q170" s="3">
        <v>16</v>
      </c>
      <c r="R170" s="3">
        <v>121448</v>
      </c>
      <c r="S170" s="3">
        <v>589</v>
      </c>
      <c r="T170" s="3" t="s">
        <v>45</v>
      </c>
      <c r="U170" s="3">
        <v>1</v>
      </c>
      <c r="V170" s="3">
        <v>5090</v>
      </c>
      <c r="W170" s="5" t="str">
        <f t="shared" si="8"/>
        <v>520-599</v>
      </c>
      <c r="X170" s="5" t="str">
        <f t="shared" si="9"/>
        <v>High (51-75%)</v>
      </c>
      <c r="Y170" s="5" t="str">
        <f t="shared" si="10"/>
        <v>Employed</v>
      </c>
      <c r="Z170" s="3" t="str">
        <f t="shared" si="11"/>
        <v>Consumer &amp; Personal</v>
      </c>
    </row>
    <row r="171" spans="1:26" ht="17.399999999999999" x14ac:dyDescent="0.35">
      <c r="A171" s="3" t="s">
        <v>385</v>
      </c>
      <c r="B171" s="3" t="s">
        <v>386</v>
      </c>
      <c r="C171" s="4">
        <v>45517</v>
      </c>
      <c r="D171" s="3" t="s">
        <v>67</v>
      </c>
      <c r="E171" s="3">
        <v>13500</v>
      </c>
      <c r="F171" s="3">
        <v>36</v>
      </c>
      <c r="G171" s="3">
        <v>10.039999999999999</v>
      </c>
      <c r="H171" s="3">
        <v>435.86</v>
      </c>
      <c r="I171" s="3">
        <v>45.8</v>
      </c>
      <c r="J171" s="3" t="s">
        <v>48</v>
      </c>
      <c r="K171" s="3">
        <v>0</v>
      </c>
      <c r="L171" s="3">
        <v>0</v>
      </c>
      <c r="M171" s="3">
        <v>44</v>
      </c>
      <c r="N171" s="3" t="s">
        <v>42</v>
      </c>
      <c r="O171" s="3" t="s">
        <v>43</v>
      </c>
      <c r="P171" s="3" t="s">
        <v>85</v>
      </c>
      <c r="Q171" s="3">
        <v>7</v>
      </c>
      <c r="R171" s="3">
        <v>49067</v>
      </c>
      <c r="S171" s="3">
        <v>605</v>
      </c>
      <c r="T171" s="3" t="s">
        <v>38</v>
      </c>
      <c r="U171" s="3">
        <v>0</v>
      </c>
      <c r="V171" s="3">
        <v>1436</v>
      </c>
      <c r="W171" s="5" t="str">
        <f t="shared" si="8"/>
        <v>600-649</v>
      </c>
      <c r="X171" s="5" t="str">
        <f t="shared" si="9"/>
        <v>Manageable (36-50%)</v>
      </c>
      <c r="Y171" s="5" t="str">
        <f t="shared" si="10"/>
        <v>Retired</v>
      </c>
      <c r="Z171" s="3" t="str">
        <f t="shared" si="11"/>
        <v>Debt &amp; Assets</v>
      </c>
    </row>
    <row r="172" spans="1:26" ht="17.399999999999999" x14ac:dyDescent="0.35">
      <c r="A172" s="3" t="s">
        <v>387</v>
      </c>
      <c r="B172" s="3" t="s">
        <v>388</v>
      </c>
      <c r="C172" s="4">
        <v>45377</v>
      </c>
      <c r="D172" s="3" t="s">
        <v>77</v>
      </c>
      <c r="E172" s="3">
        <v>19900</v>
      </c>
      <c r="F172" s="3">
        <v>36</v>
      </c>
      <c r="G172" s="3">
        <v>8.2799999999999994</v>
      </c>
      <c r="H172" s="3">
        <v>626.16999999999996</v>
      </c>
      <c r="I172" s="3">
        <v>64.900000000000006</v>
      </c>
      <c r="J172" s="3" t="s">
        <v>99</v>
      </c>
      <c r="K172" s="3">
        <v>0</v>
      </c>
      <c r="L172" s="3">
        <v>0</v>
      </c>
      <c r="M172" s="3">
        <v>63</v>
      </c>
      <c r="N172" s="3" t="s">
        <v>26</v>
      </c>
      <c r="O172" s="3" t="s">
        <v>27</v>
      </c>
      <c r="P172" s="3" t="s">
        <v>85</v>
      </c>
      <c r="Q172" s="3">
        <v>28</v>
      </c>
      <c r="R172" s="3">
        <v>26701</v>
      </c>
      <c r="S172" s="3">
        <v>762</v>
      </c>
      <c r="T172" s="3" t="s">
        <v>29</v>
      </c>
      <c r="U172" s="3">
        <v>2</v>
      </c>
      <c r="V172" s="3">
        <v>818</v>
      </c>
      <c r="W172" s="5" t="str">
        <f t="shared" si="8"/>
        <v>750+</v>
      </c>
      <c r="X172" s="5" t="str">
        <f t="shared" si="9"/>
        <v>High (51-75%)</v>
      </c>
      <c r="Y172" s="5" t="str">
        <f t="shared" si="10"/>
        <v>Retired</v>
      </c>
      <c r="Z172" s="3" t="str">
        <f t="shared" si="11"/>
        <v>Consumer &amp; Personal</v>
      </c>
    </row>
    <row r="173" spans="1:26" ht="17.399999999999999" x14ac:dyDescent="0.35">
      <c r="A173" s="3" t="s">
        <v>389</v>
      </c>
      <c r="B173" s="3" t="s">
        <v>390</v>
      </c>
      <c r="C173" s="4">
        <v>45349</v>
      </c>
      <c r="D173" s="3" t="s">
        <v>35</v>
      </c>
      <c r="E173" s="3">
        <v>11000</v>
      </c>
      <c r="F173" s="3">
        <v>60</v>
      </c>
      <c r="G173" s="3">
        <v>10.53</v>
      </c>
      <c r="H173" s="3">
        <v>236.6</v>
      </c>
      <c r="I173" s="3">
        <v>29.5</v>
      </c>
      <c r="J173" s="3" t="s">
        <v>48</v>
      </c>
      <c r="K173" s="3">
        <v>0</v>
      </c>
      <c r="L173" s="3">
        <v>0</v>
      </c>
      <c r="M173" s="3">
        <v>61</v>
      </c>
      <c r="N173" s="3" t="s">
        <v>36</v>
      </c>
      <c r="O173" s="3" t="s">
        <v>79</v>
      </c>
      <c r="P173" s="3" t="s">
        <v>85</v>
      </c>
      <c r="Q173" s="3">
        <v>4</v>
      </c>
      <c r="R173" s="3">
        <v>26403</v>
      </c>
      <c r="S173" s="3">
        <v>750</v>
      </c>
      <c r="T173" s="3" t="s">
        <v>45</v>
      </c>
      <c r="U173" s="3">
        <v>1</v>
      </c>
      <c r="V173" s="3">
        <v>412</v>
      </c>
      <c r="W173" s="5" t="str">
        <f t="shared" si="8"/>
        <v>750+</v>
      </c>
      <c r="X173" s="5" t="str">
        <f t="shared" si="9"/>
        <v>Low (&lt;=35%)</v>
      </c>
      <c r="Y173" s="5" t="str">
        <f t="shared" si="10"/>
        <v>Retired</v>
      </c>
      <c r="Z173" s="3" t="str">
        <f t="shared" si="11"/>
        <v>Consumer &amp; Personal</v>
      </c>
    </row>
    <row r="174" spans="1:26" ht="17.399999999999999" x14ac:dyDescent="0.35">
      <c r="A174" s="3" t="s">
        <v>391</v>
      </c>
      <c r="B174" s="3" t="s">
        <v>392</v>
      </c>
      <c r="C174" s="4">
        <v>45748</v>
      </c>
      <c r="D174" s="3" t="s">
        <v>52</v>
      </c>
      <c r="E174" s="3">
        <v>2600</v>
      </c>
      <c r="F174" s="3">
        <v>36</v>
      </c>
      <c r="G174" s="3">
        <v>12.52</v>
      </c>
      <c r="H174" s="3">
        <v>87</v>
      </c>
      <c r="I174" s="3">
        <v>49.7</v>
      </c>
      <c r="J174" s="3" t="s">
        <v>25</v>
      </c>
      <c r="K174" s="3">
        <v>0</v>
      </c>
      <c r="L174" s="3">
        <v>0</v>
      </c>
      <c r="M174" s="3">
        <v>25</v>
      </c>
      <c r="N174" s="3" t="s">
        <v>393</v>
      </c>
      <c r="O174" s="3" t="s">
        <v>43</v>
      </c>
      <c r="P174" s="3" t="s">
        <v>37</v>
      </c>
      <c r="Q174" s="3">
        <v>0</v>
      </c>
      <c r="R174" s="3">
        <v>70059</v>
      </c>
      <c r="S174" s="3">
        <v>554</v>
      </c>
      <c r="T174" s="3" t="s">
        <v>45</v>
      </c>
      <c r="U174" s="3">
        <v>0</v>
      </c>
      <c r="V174" s="3">
        <v>2814</v>
      </c>
      <c r="W174" s="5" t="str">
        <f t="shared" si="8"/>
        <v>520-599</v>
      </c>
      <c r="X174" s="5" t="str">
        <f t="shared" si="9"/>
        <v>Manageable (36-50%)</v>
      </c>
      <c r="Y174" s="5" t="str">
        <f t="shared" si="10"/>
        <v>Employed</v>
      </c>
      <c r="Z174" s="3" t="str">
        <f t="shared" si="11"/>
        <v>Investment &amp; Growth</v>
      </c>
    </row>
    <row r="175" spans="1:26" ht="17.399999999999999" x14ac:dyDescent="0.35">
      <c r="A175" s="3" t="s">
        <v>394</v>
      </c>
      <c r="B175" s="3" t="s">
        <v>392</v>
      </c>
      <c r="C175" s="4">
        <v>45726</v>
      </c>
      <c r="D175" s="3" t="s">
        <v>24</v>
      </c>
      <c r="E175" s="3">
        <v>21900</v>
      </c>
      <c r="F175" s="3">
        <v>48</v>
      </c>
      <c r="G175" s="3">
        <v>12.21</v>
      </c>
      <c r="H175" s="3">
        <v>578.97</v>
      </c>
      <c r="I175" s="3">
        <v>58.1</v>
      </c>
      <c r="J175" s="3" t="s">
        <v>25</v>
      </c>
      <c r="K175" s="3">
        <v>0</v>
      </c>
      <c r="L175" s="3">
        <v>0</v>
      </c>
      <c r="M175" s="3">
        <v>25</v>
      </c>
      <c r="N175" s="3" t="s">
        <v>393</v>
      </c>
      <c r="O175" s="3" t="s">
        <v>43</v>
      </c>
      <c r="P175" s="3" t="s">
        <v>37</v>
      </c>
      <c r="Q175" s="3">
        <v>0</v>
      </c>
      <c r="R175" s="3">
        <v>70059</v>
      </c>
      <c r="S175" s="3">
        <v>554</v>
      </c>
      <c r="T175" s="3" t="s">
        <v>45</v>
      </c>
      <c r="U175" s="3">
        <v>0</v>
      </c>
      <c r="V175" s="3">
        <v>2814</v>
      </c>
      <c r="W175" s="5" t="str">
        <f t="shared" si="8"/>
        <v>520-599</v>
      </c>
      <c r="X175" s="5" t="str">
        <f t="shared" si="9"/>
        <v>High (51-75%)</v>
      </c>
      <c r="Y175" s="5" t="str">
        <f t="shared" si="10"/>
        <v>Employed</v>
      </c>
      <c r="Z175" s="3" t="str">
        <f t="shared" si="11"/>
        <v>Consumer &amp; Personal</v>
      </c>
    </row>
    <row r="176" spans="1:26" ht="17.399999999999999" x14ac:dyDescent="0.35">
      <c r="A176" s="3" t="s">
        <v>395</v>
      </c>
      <c r="B176" s="3" t="s">
        <v>396</v>
      </c>
      <c r="C176" s="4">
        <v>45359</v>
      </c>
      <c r="D176" s="3" t="s">
        <v>56</v>
      </c>
      <c r="E176" s="3">
        <v>19300</v>
      </c>
      <c r="F176" s="3">
        <v>60</v>
      </c>
      <c r="G176" s="3">
        <v>11.3</v>
      </c>
      <c r="H176" s="3">
        <v>422.52</v>
      </c>
      <c r="I176" s="3">
        <v>21.6</v>
      </c>
      <c r="J176" s="3" t="s">
        <v>48</v>
      </c>
      <c r="K176" s="3">
        <v>0</v>
      </c>
      <c r="L176" s="3">
        <v>0</v>
      </c>
      <c r="M176" s="3">
        <v>27</v>
      </c>
      <c r="N176" s="3" t="s">
        <v>68</v>
      </c>
      <c r="O176" s="3" t="s">
        <v>43</v>
      </c>
      <c r="P176" s="3" t="s">
        <v>37</v>
      </c>
      <c r="Q176" s="3">
        <v>0</v>
      </c>
      <c r="R176" s="3">
        <v>70121</v>
      </c>
      <c r="S176" s="3">
        <v>818</v>
      </c>
      <c r="T176" s="3" t="s">
        <v>45</v>
      </c>
      <c r="U176" s="3">
        <v>2</v>
      </c>
      <c r="V176" s="3">
        <v>842</v>
      </c>
      <c r="W176" s="5" t="str">
        <f t="shared" si="8"/>
        <v>750+</v>
      </c>
      <c r="X176" s="5" t="str">
        <f t="shared" si="9"/>
        <v>Low (&lt;=35%)</v>
      </c>
      <c r="Y176" s="5" t="str">
        <f t="shared" si="10"/>
        <v>Employed</v>
      </c>
      <c r="Z176" s="3" t="str">
        <f t="shared" si="11"/>
        <v>Consumer &amp; Personal</v>
      </c>
    </row>
    <row r="177" spans="1:26" ht="17.399999999999999" x14ac:dyDescent="0.35">
      <c r="A177" s="3" t="s">
        <v>397</v>
      </c>
      <c r="B177" s="3" t="s">
        <v>398</v>
      </c>
      <c r="C177" s="4">
        <v>45432</v>
      </c>
      <c r="D177" s="3" t="s">
        <v>41</v>
      </c>
      <c r="E177" s="3">
        <v>20600</v>
      </c>
      <c r="F177" s="3">
        <v>60</v>
      </c>
      <c r="G177" s="3">
        <v>14.08</v>
      </c>
      <c r="H177" s="3">
        <v>480.18</v>
      </c>
      <c r="I177" s="3">
        <v>26.5</v>
      </c>
      <c r="J177" s="3" t="s">
        <v>32</v>
      </c>
      <c r="K177" s="3">
        <v>127</v>
      </c>
      <c r="L177" s="3">
        <v>1</v>
      </c>
      <c r="M177" s="3">
        <v>60</v>
      </c>
      <c r="N177" s="3" t="s">
        <v>53</v>
      </c>
      <c r="O177" s="3" t="s">
        <v>43</v>
      </c>
      <c r="P177" s="3" t="s">
        <v>37</v>
      </c>
      <c r="Q177" s="3">
        <v>21</v>
      </c>
      <c r="R177" s="3">
        <v>44547</v>
      </c>
      <c r="S177" s="3">
        <v>582</v>
      </c>
      <c r="T177" s="3" t="s">
        <v>29</v>
      </c>
      <c r="U177" s="3">
        <v>1</v>
      </c>
      <c r="V177" s="3">
        <v>505</v>
      </c>
      <c r="W177" s="5" t="str">
        <f t="shared" si="8"/>
        <v>520-599</v>
      </c>
      <c r="X177" s="5" t="str">
        <f t="shared" si="9"/>
        <v>Low (&lt;=35%)</v>
      </c>
      <c r="Y177" s="5" t="str">
        <f t="shared" si="10"/>
        <v>Employed</v>
      </c>
      <c r="Z177" s="3" t="str">
        <f t="shared" si="11"/>
        <v>Debt &amp; Assets</v>
      </c>
    </row>
    <row r="178" spans="1:26" ht="17.399999999999999" x14ac:dyDescent="0.35">
      <c r="A178" s="3" t="s">
        <v>399</v>
      </c>
      <c r="B178" s="3" t="s">
        <v>400</v>
      </c>
      <c r="C178" s="4">
        <v>45766</v>
      </c>
      <c r="D178" s="3" t="s">
        <v>24</v>
      </c>
      <c r="E178" s="3">
        <v>17700</v>
      </c>
      <c r="F178" s="3">
        <v>60</v>
      </c>
      <c r="G178" s="3">
        <v>7.49</v>
      </c>
      <c r="H178" s="3">
        <v>354.59</v>
      </c>
      <c r="I178" s="3">
        <v>32.6</v>
      </c>
      <c r="J178" s="3" t="s">
        <v>48</v>
      </c>
      <c r="K178" s="3">
        <v>0</v>
      </c>
      <c r="L178" s="3">
        <v>0</v>
      </c>
      <c r="M178" s="3">
        <v>37</v>
      </c>
      <c r="N178" s="3" t="s">
        <v>71</v>
      </c>
      <c r="O178" s="3" t="s">
        <v>72</v>
      </c>
      <c r="P178" s="3" t="s">
        <v>85</v>
      </c>
      <c r="Q178" s="3">
        <v>5</v>
      </c>
      <c r="R178" s="3">
        <v>59739</v>
      </c>
      <c r="S178" s="3">
        <v>842</v>
      </c>
      <c r="T178" s="3" t="s">
        <v>45</v>
      </c>
      <c r="U178" s="3">
        <v>0</v>
      </c>
      <c r="V178" s="3">
        <v>1266</v>
      </c>
      <c r="W178" s="5" t="str">
        <f t="shared" si="8"/>
        <v>750+</v>
      </c>
      <c r="X178" s="5" t="str">
        <f t="shared" si="9"/>
        <v>Low (&lt;=35%)</v>
      </c>
      <c r="Y178" s="5" t="str">
        <f t="shared" si="10"/>
        <v>Retired</v>
      </c>
      <c r="Z178" s="3" t="str">
        <f t="shared" si="11"/>
        <v>Consumer &amp; Personal</v>
      </c>
    </row>
    <row r="179" spans="1:26" ht="17.399999999999999" x14ac:dyDescent="0.35">
      <c r="A179" s="3" t="s">
        <v>401</v>
      </c>
      <c r="B179" s="3" t="s">
        <v>402</v>
      </c>
      <c r="C179" s="4">
        <v>45795</v>
      </c>
      <c r="D179" s="3" t="s">
        <v>24</v>
      </c>
      <c r="E179" s="3">
        <v>24800</v>
      </c>
      <c r="F179" s="3">
        <v>36</v>
      </c>
      <c r="G179" s="3">
        <v>10.24</v>
      </c>
      <c r="H179" s="3">
        <v>803.02</v>
      </c>
      <c r="I179" s="3">
        <v>31.1</v>
      </c>
      <c r="J179" s="3" t="s">
        <v>48</v>
      </c>
      <c r="K179" s="3">
        <v>0</v>
      </c>
      <c r="L179" s="3">
        <v>0</v>
      </c>
      <c r="M179" s="3">
        <v>43</v>
      </c>
      <c r="N179" s="3" t="s">
        <v>119</v>
      </c>
      <c r="O179" s="3" t="s">
        <v>43</v>
      </c>
      <c r="P179" s="3" t="s">
        <v>37</v>
      </c>
      <c r="Q179" s="3">
        <v>2</v>
      </c>
      <c r="R179" s="3">
        <v>80850</v>
      </c>
      <c r="S179" s="3">
        <v>711</v>
      </c>
      <c r="T179" s="3" t="s">
        <v>45</v>
      </c>
      <c r="U179" s="3">
        <v>2</v>
      </c>
      <c r="V179" s="3">
        <v>1294</v>
      </c>
      <c r="W179" s="5" t="str">
        <f t="shared" si="8"/>
        <v>700-749</v>
      </c>
      <c r="X179" s="5" t="str">
        <f t="shared" si="9"/>
        <v>Low (&lt;=35%)</v>
      </c>
      <c r="Y179" s="5" t="str">
        <f t="shared" si="10"/>
        <v>Employed</v>
      </c>
      <c r="Z179" s="3" t="str">
        <f t="shared" si="11"/>
        <v>Consumer &amp; Personal</v>
      </c>
    </row>
    <row r="180" spans="1:26" ht="17.399999999999999" x14ac:dyDescent="0.35">
      <c r="A180" s="3" t="s">
        <v>403</v>
      </c>
      <c r="B180" s="3" t="s">
        <v>404</v>
      </c>
      <c r="C180" s="4">
        <v>45738</v>
      </c>
      <c r="D180" s="3" t="s">
        <v>24</v>
      </c>
      <c r="E180" s="3">
        <v>5200</v>
      </c>
      <c r="F180" s="3">
        <v>36</v>
      </c>
      <c r="G180" s="3">
        <v>12.72</v>
      </c>
      <c r="H180" s="3">
        <v>174.51</v>
      </c>
      <c r="I180" s="3">
        <v>25.8</v>
      </c>
      <c r="J180" s="3" t="s">
        <v>48</v>
      </c>
      <c r="K180" s="3">
        <v>0</v>
      </c>
      <c r="L180" s="3">
        <v>0</v>
      </c>
      <c r="M180" s="3">
        <v>68</v>
      </c>
      <c r="N180" s="3" t="s">
        <v>135</v>
      </c>
      <c r="O180" s="3" t="s">
        <v>72</v>
      </c>
      <c r="P180" s="3" t="s">
        <v>85</v>
      </c>
      <c r="Q180" s="3">
        <v>21</v>
      </c>
      <c r="R180" s="3">
        <v>63786</v>
      </c>
      <c r="S180" s="3">
        <v>611</v>
      </c>
      <c r="T180" s="3" t="s">
        <v>38</v>
      </c>
      <c r="U180" s="3">
        <v>0</v>
      </c>
      <c r="V180" s="3">
        <v>1195</v>
      </c>
      <c r="W180" s="5" t="str">
        <f t="shared" si="8"/>
        <v>600-649</v>
      </c>
      <c r="X180" s="5" t="str">
        <f t="shared" si="9"/>
        <v>Low (&lt;=35%)</v>
      </c>
      <c r="Y180" s="5" t="str">
        <f t="shared" si="10"/>
        <v>Retired</v>
      </c>
      <c r="Z180" s="3" t="str">
        <f t="shared" si="11"/>
        <v>Consumer &amp; Personal</v>
      </c>
    </row>
    <row r="181" spans="1:26" ht="17.399999999999999" x14ac:dyDescent="0.35">
      <c r="A181" s="3" t="s">
        <v>405</v>
      </c>
      <c r="B181" s="3" t="s">
        <v>406</v>
      </c>
      <c r="C181" s="4">
        <v>45458</v>
      </c>
      <c r="D181" s="3" t="s">
        <v>61</v>
      </c>
      <c r="E181" s="3">
        <v>37200</v>
      </c>
      <c r="F181" s="3">
        <v>12</v>
      </c>
      <c r="G181" s="3">
        <v>14.59</v>
      </c>
      <c r="H181" s="3">
        <v>3350.42</v>
      </c>
      <c r="I181" s="3">
        <v>96.8</v>
      </c>
      <c r="J181" s="3" t="s">
        <v>48</v>
      </c>
      <c r="K181" s="3">
        <v>0</v>
      </c>
      <c r="L181" s="3">
        <v>0</v>
      </c>
      <c r="M181" s="3">
        <v>63</v>
      </c>
      <c r="N181" s="3" t="s">
        <v>36</v>
      </c>
      <c r="O181" s="3" t="s">
        <v>43</v>
      </c>
      <c r="P181" s="3" t="s">
        <v>37</v>
      </c>
      <c r="Q181" s="3">
        <v>19</v>
      </c>
      <c r="R181" s="3">
        <v>78563</v>
      </c>
      <c r="S181" s="3">
        <v>578</v>
      </c>
      <c r="T181" s="3" t="s">
        <v>45</v>
      </c>
      <c r="U181" s="3">
        <v>2</v>
      </c>
      <c r="V181" s="3">
        <v>2989</v>
      </c>
      <c r="W181" s="5" t="str">
        <f t="shared" si="8"/>
        <v>520-599</v>
      </c>
      <c r="X181" s="5" t="str">
        <f t="shared" si="9"/>
        <v>Critical (&gt;75%)</v>
      </c>
      <c r="Y181" s="5" t="str">
        <f t="shared" si="10"/>
        <v>Employed</v>
      </c>
      <c r="Z181" s="3" t="str">
        <f t="shared" si="11"/>
        <v>Investment &amp; Growth</v>
      </c>
    </row>
    <row r="182" spans="1:26" ht="17.399999999999999" x14ac:dyDescent="0.35">
      <c r="A182" s="3" t="s">
        <v>407</v>
      </c>
      <c r="B182" s="3" t="s">
        <v>408</v>
      </c>
      <c r="C182" s="4">
        <v>45656</v>
      </c>
      <c r="D182" s="3" t="s">
        <v>52</v>
      </c>
      <c r="E182" s="3">
        <v>12800</v>
      </c>
      <c r="F182" s="3">
        <v>48</v>
      </c>
      <c r="G182" s="3">
        <v>9.6999999999999993</v>
      </c>
      <c r="H182" s="3">
        <v>322.8</v>
      </c>
      <c r="I182" s="3">
        <v>10.5</v>
      </c>
      <c r="J182" s="3" t="s">
        <v>32</v>
      </c>
      <c r="K182" s="3">
        <v>104</v>
      </c>
      <c r="L182" s="3">
        <v>1</v>
      </c>
      <c r="M182" s="3">
        <v>64</v>
      </c>
      <c r="N182" s="3" t="s">
        <v>102</v>
      </c>
      <c r="O182" s="3" t="s">
        <v>72</v>
      </c>
      <c r="P182" s="3" t="s">
        <v>85</v>
      </c>
      <c r="Q182" s="3">
        <v>5</v>
      </c>
      <c r="R182" s="3">
        <v>84093</v>
      </c>
      <c r="S182" s="3">
        <v>809</v>
      </c>
      <c r="T182" s="3" t="s">
        <v>45</v>
      </c>
      <c r="U182" s="3">
        <v>1</v>
      </c>
      <c r="V182" s="3">
        <v>414</v>
      </c>
      <c r="W182" s="5" t="str">
        <f t="shared" si="8"/>
        <v>750+</v>
      </c>
      <c r="X182" s="5" t="str">
        <f t="shared" si="9"/>
        <v>Low (&lt;=35%)</v>
      </c>
      <c r="Y182" s="5" t="str">
        <f t="shared" si="10"/>
        <v>Retired</v>
      </c>
      <c r="Z182" s="3" t="str">
        <f t="shared" si="11"/>
        <v>Investment &amp; Growth</v>
      </c>
    </row>
    <row r="183" spans="1:26" ht="17.399999999999999" x14ac:dyDescent="0.35">
      <c r="A183" s="3" t="s">
        <v>409</v>
      </c>
      <c r="B183" s="3" t="s">
        <v>410</v>
      </c>
      <c r="C183" s="4">
        <v>45463</v>
      </c>
      <c r="D183" s="3" t="s">
        <v>61</v>
      </c>
      <c r="E183" s="3">
        <v>38800</v>
      </c>
      <c r="F183" s="3">
        <v>24</v>
      </c>
      <c r="G183" s="3">
        <v>10.86</v>
      </c>
      <c r="H183" s="3">
        <v>1805.86</v>
      </c>
      <c r="I183" s="3">
        <v>58.6</v>
      </c>
      <c r="J183" s="3" t="s">
        <v>99</v>
      </c>
      <c r="K183" s="3">
        <v>15</v>
      </c>
      <c r="L183" s="3">
        <v>0</v>
      </c>
      <c r="M183" s="3">
        <v>41</v>
      </c>
      <c r="N183" s="3" t="s">
        <v>203</v>
      </c>
      <c r="O183" s="3" t="s">
        <v>27</v>
      </c>
      <c r="P183" s="3" t="s">
        <v>37</v>
      </c>
      <c r="Q183" s="3">
        <v>6</v>
      </c>
      <c r="R183" s="3">
        <v>55757</v>
      </c>
      <c r="S183" s="3">
        <v>778</v>
      </c>
      <c r="T183" s="3" t="s">
        <v>38</v>
      </c>
      <c r="U183" s="3">
        <v>0</v>
      </c>
      <c r="V183" s="3">
        <v>919</v>
      </c>
      <c r="W183" s="5" t="str">
        <f t="shared" si="8"/>
        <v>750+</v>
      </c>
      <c r="X183" s="5" t="str">
        <f t="shared" si="9"/>
        <v>High (51-75%)</v>
      </c>
      <c r="Y183" s="5" t="str">
        <f t="shared" si="10"/>
        <v>Employed</v>
      </c>
      <c r="Z183" s="3" t="str">
        <f t="shared" si="11"/>
        <v>Investment &amp; Growth</v>
      </c>
    </row>
    <row r="184" spans="1:26" ht="17.399999999999999" x14ac:dyDescent="0.35">
      <c r="A184" s="3" t="s">
        <v>411</v>
      </c>
      <c r="B184" s="3" t="s">
        <v>412</v>
      </c>
      <c r="C184" s="4">
        <v>45652</v>
      </c>
      <c r="D184" s="3" t="s">
        <v>41</v>
      </c>
      <c r="E184" s="3">
        <v>35500</v>
      </c>
      <c r="F184" s="3">
        <v>36</v>
      </c>
      <c r="G184" s="3">
        <v>7</v>
      </c>
      <c r="H184" s="3">
        <v>1096.1400000000001</v>
      </c>
      <c r="I184" s="3">
        <v>26.5</v>
      </c>
      <c r="J184" s="3" t="s">
        <v>48</v>
      </c>
      <c r="K184" s="3">
        <v>0</v>
      </c>
      <c r="L184" s="3">
        <v>0</v>
      </c>
      <c r="M184" s="3">
        <v>28</v>
      </c>
      <c r="N184" s="3" t="s">
        <v>26</v>
      </c>
      <c r="O184" s="3" t="s">
        <v>43</v>
      </c>
      <c r="P184" s="3" t="s">
        <v>37</v>
      </c>
      <c r="Q184" s="3">
        <v>0</v>
      </c>
      <c r="R184" s="3">
        <v>87725</v>
      </c>
      <c r="S184" s="3">
        <v>809</v>
      </c>
      <c r="T184" s="3" t="s">
        <v>29</v>
      </c>
      <c r="U184" s="3">
        <v>2</v>
      </c>
      <c r="V184" s="3">
        <v>844</v>
      </c>
      <c r="W184" s="5" t="str">
        <f t="shared" si="8"/>
        <v>750+</v>
      </c>
      <c r="X184" s="5" t="str">
        <f t="shared" si="9"/>
        <v>Low (&lt;=35%)</v>
      </c>
      <c r="Y184" s="5" t="str">
        <f t="shared" si="10"/>
        <v>Employed</v>
      </c>
      <c r="Z184" s="3" t="str">
        <f t="shared" si="11"/>
        <v>Debt &amp; Assets</v>
      </c>
    </row>
    <row r="185" spans="1:26" ht="17.399999999999999" x14ac:dyDescent="0.35">
      <c r="A185" s="3" t="s">
        <v>413</v>
      </c>
      <c r="B185" s="3" t="s">
        <v>414</v>
      </c>
      <c r="C185" s="4">
        <v>45450</v>
      </c>
      <c r="D185" s="3" t="s">
        <v>24</v>
      </c>
      <c r="E185" s="3">
        <v>34400</v>
      </c>
      <c r="F185" s="3">
        <v>24</v>
      </c>
      <c r="G185" s="3">
        <v>6.36</v>
      </c>
      <c r="H185" s="3">
        <v>1530.22</v>
      </c>
      <c r="I185" s="3">
        <v>64.8</v>
      </c>
      <c r="J185" s="3" t="s">
        <v>25</v>
      </c>
      <c r="K185" s="3">
        <v>0</v>
      </c>
      <c r="L185" s="3">
        <v>0</v>
      </c>
      <c r="M185" s="3">
        <v>46</v>
      </c>
      <c r="N185" s="3" t="s">
        <v>89</v>
      </c>
      <c r="O185" s="3" t="s">
        <v>27</v>
      </c>
      <c r="P185" s="3" t="s">
        <v>37</v>
      </c>
      <c r="Q185" s="3">
        <v>25</v>
      </c>
      <c r="R185" s="3">
        <v>46788</v>
      </c>
      <c r="S185" s="3">
        <v>849</v>
      </c>
      <c r="T185" s="3" t="s">
        <v>29</v>
      </c>
      <c r="U185" s="3">
        <v>1</v>
      </c>
      <c r="V185" s="3">
        <v>995</v>
      </c>
      <c r="W185" s="5" t="str">
        <f t="shared" si="8"/>
        <v>750+</v>
      </c>
      <c r="X185" s="5" t="str">
        <f t="shared" si="9"/>
        <v>High (51-75%)</v>
      </c>
      <c r="Y185" s="5" t="str">
        <f t="shared" si="10"/>
        <v>Employed</v>
      </c>
      <c r="Z185" s="3" t="str">
        <f t="shared" si="11"/>
        <v>Consumer &amp; Personal</v>
      </c>
    </row>
    <row r="186" spans="1:26" ht="17.399999999999999" x14ac:dyDescent="0.35">
      <c r="A186" s="3" t="s">
        <v>415</v>
      </c>
      <c r="B186" s="3" t="s">
        <v>416</v>
      </c>
      <c r="C186" s="4">
        <v>45370</v>
      </c>
      <c r="D186" s="3" t="s">
        <v>35</v>
      </c>
      <c r="E186" s="3">
        <v>36200</v>
      </c>
      <c r="F186" s="3">
        <v>12</v>
      </c>
      <c r="G186" s="3">
        <v>9.35</v>
      </c>
      <c r="H186" s="3">
        <v>3171.62</v>
      </c>
      <c r="I186" s="3">
        <v>103.5</v>
      </c>
      <c r="J186" s="3" t="s">
        <v>32</v>
      </c>
      <c r="K186" s="3">
        <v>63</v>
      </c>
      <c r="L186" s="3">
        <v>1</v>
      </c>
      <c r="M186" s="3">
        <v>65</v>
      </c>
      <c r="N186" s="3" t="s">
        <v>393</v>
      </c>
      <c r="O186" s="3" t="s">
        <v>72</v>
      </c>
      <c r="P186" s="3" t="s">
        <v>85</v>
      </c>
      <c r="Q186" s="3">
        <v>14</v>
      </c>
      <c r="R186" s="3">
        <v>64193</v>
      </c>
      <c r="S186" s="3">
        <v>764</v>
      </c>
      <c r="T186" s="3" t="s">
        <v>45</v>
      </c>
      <c r="U186" s="3">
        <v>4</v>
      </c>
      <c r="V186" s="3">
        <v>2365</v>
      </c>
      <c r="W186" s="5" t="str">
        <f t="shared" si="8"/>
        <v>750+</v>
      </c>
      <c r="X186" s="5" t="str">
        <f t="shared" si="9"/>
        <v>Critical (&gt;75%)</v>
      </c>
      <c r="Y186" s="5" t="str">
        <f t="shared" si="10"/>
        <v>Retired</v>
      </c>
      <c r="Z186" s="3" t="str">
        <f t="shared" si="11"/>
        <v>Consumer &amp; Personal</v>
      </c>
    </row>
    <row r="187" spans="1:26" ht="17.399999999999999" x14ac:dyDescent="0.35">
      <c r="A187" s="3" t="s">
        <v>417</v>
      </c>
      <c r="B187" s="3" t="s">
        <v>418</v>
      </c>
      <c r="C187" s="4">
        <v>45827</v>
      </c>
      <c r="D187" s="3" t="s">
        <v>24</v>
      </c>
      <c r="E187" s="3">
        <v>31400</v>
      </c>
      <c r="F187" s="3">
        <v>24</v>
      </c>
      <c r="G187" s="3">
        <v>11.24</v>
      </c>
      <c r="H187" s="3">
        <v>1466.99</v>
      </c>
      <c r="I187" s="3">
        <v>54.3</v>
      </c>
      <c r="J187" s="3" t="s">
        <v>25</v>
      </c>
      <c r="K187" s="3">
        <v>0</v>
      </c>
      <c r="L187" s="3">
        <v>0</v>
      </c>
      <c r="M187" s="3">
        <v>34</v>
      </c>
      <c r="N187" s="3" t="s">
        <v>78</v>
      </c>
      <c r="O187" s="3" t="s">
        <v>43</v>
      </c>
      <c r="P187" s="3" t="s">
        <v>85</v>
      </c>
      <c r="Q187" s="3">
        <v>12</v>
      </c>
      <c r="R187" s="3">
        <v>62044</v>
      </c>
      <c r="S187" s="3">
        <v>771</v>
      </c>
      <c r="T187" s="3" t="s">
        <v>45</v>
      </c>
      <c r="U187" s="3">
        <v>1</v>
      </c>
      <c r="V187" s="3">
        <v>1340</v>
      </c>
      <c r="W187" s="5" t="str">
        <f t="shared" si="8"/>
        <v>750+</v>
      </c>
      <c r="X187" s="5" t="str">
        <f t="shared" si="9"/>
        <v>High (51-75%)</v>
      </c>
      <c r="Y187" s="5" t="str">
        <f t="shared" si="10"/>
        <v>Retired</v>
      </c>
      <c r="Z187" s="3" t="str">
        <f t="shared" si="11"/>
        <v>Consumer &amp; Personal</v>
      </c>
    </row>
    <row r="188" spans="1:26" ht="17.399999999999999" x14ac:dyDescent="0.35">
      <c r="A188" s="3" t="s">
        <v>419</v>
      </c>
      <c r="B188" s="3" t="s">
        <v>418</v>
      </c>
      <c r="C188" s="4">
        <v>45437</v>
      </c>
      <c r="D188" s="3" t="s">
        <v>67</v>
      </c>
      <c r="E188" s="3">
        <v>7700</v>
      </c>
      <c r="F188" s="3">
        <v>24</v>
      </c>
      <c r="G188" s="3">
        <v>11.43</v>
      </c>
      <c r="H188" s="3">
        <v>360.42</v>
      </c>
      <c r="I188" s="3">
        <v>32.9</v>
      </c>
      <c r="J188" s="3" t="s">
        <v>48</v>
      </c>
      <c r="K188" s="3">
        <v>0</v>
      </c>
      <c r="L188" s="3">
        <v>0</v>
      </c>
      <c r="M188" s="3">
        <v>34</v>
      </c>
      <c r="N188" s="3" t="s">
        <v>78</v>
      </c>
      <c r="O188" s="3" t="s">
        <v>43</v>
      </c>
      <c r="P188" s="3" t="s">
        <v>85</v>
      </c>
      <c r="Q188" s="3">
        <v>12</v>
      </c>
      <c r="R188" s="3">
        <v>62044</v>
      </c>
      <c r="S188" s="3">
        <v>771</v>
      </c>
      <c r="T188" s="3" t="s">
        <v>45</v>
      </c>
      <c r="U188" s="3">
        <v>1</v>
      </c>
      <c r="V188" s="3">
        <v>1340</v>
      </c>
      <c r="W188" s="5" t="str">
        <f t="shared" si="8"/>
        <v>750+</v>
      </c>
      <c r="X188" s="5" t="str">
        <f t="shared" si="9"/>
        <v>Low (&lt;=35%)</v>
      </c>
      <c r="Y188" s="5" t="str">
        <f t="shared" si="10"/>
        <v>Retired</v>
      </c>
      <c r="Z188" s="3" t="str">
        <f t="shared" si="11"/>
        <v>Debt &amp; Assets</v>
      </c>
    </row>
    <row r="189" spans="1:26" ht="17.399999999999999" x14ac:dyDescent="0.35">
      <c r="A189" s="3" t="s">
        <v>420</v>
      </c>
      <c r="B189" s="3" t="s">
        <v>421</v>
      </c>
      <c r="C189" s="4">
        <v>45787</v>
      </c>
      <c r="D189" s="3" t="s">
        <v>31</v>
      </c>
      <c r="E189" s="3">
        <v>39600</v>
      </c>
      <c r="F189" s="3">
        <v>12</v>
      </c>
      <c r="G189" s="3">
        <v>9.0399999999999991</v>
      </c>
      <c r="H189" s="3">
        <v>3463.81</v>
      </c>
      <c r="I189" s="3">
        <v>114.2</v>
      </c>
      <c r="J189" s="3" t="s">
        <v>48</v>
      </c>
      <c r="K189" s="3">
        <v>0</v>
      </c>
      <c r="L189" s="3">
        <v>0</v>
      </c>
      <c r="M189" s="3">
        <v>32</v>
      </c>
      <c r="N189" s="3" t="s">
        <v>340</v>
      </c>
      <c r="O189" s="3" t="s">
        <v>72</v>
      </c>
      <c r="P189" s="3" t="s">
        <v>44</v>
      </c>
      <c r="Q189" s="3">
        <v>0</v>
      </c>
      <c r="R189" s="3">
        <v>66474</v>
      </c>
      <c r="S189" s="3">
        <v>663</v>
      </c>
      <c r="T189" s="3" t="s">
        <v>45</v>
      </c>
      <c r="U189" s="3">
        <v>1</v>
      </c>
      <c r="V189" s="3">
        <v>2864</v>
      </c>
      <c r="W189" s="5" t="str">
        <f t="shared" si="8"/>
        <v>650-699</v>
      </c>
      <c r="X189" s="5" t="str">
        <f t="shared" si="9"/>
        <v>Critical (&gt;75%)</v>
      </c>
      <c r="Y189" s="5" t="str">
        <f t="shared" si="10"/>
        <v>Employed</v>
      </c>
      <c r="Z189" s="3" t="str">
        <f t="shared" si="11"/>
        <v>Debt &amp; Assets</v>
      </c>
    </row>
    <row r="190" spans="1:26" ht="17.399999999999999" x14ac:dyDescent="0.35">
      <c r="A190" s="3" t="s">
        <v>422</v>
      </c>
      <c r="B190" s="3" t="s">
        <v>421</v>
      </c>
      <c r="C190" s="4">
        <v>45600</v>
      </c>
      <c r="D190" s="3" t="s">
        <v>35</v>
      </c>
      <c r="E190" s="3">
        <v>24500</v>
      </c>
      <c r="F190" s="3">
        <v>36</v>
      </c>
      <c r="G190" s="3">
        <v>9.17</v>
      </c>
      <c r="H190" s="3">
        <v>781.03</v>
      </c>
      <c r="I190" s="3">
        <v>65.8</v>
      </c>
      <c r="J190" s="3" t="s">
        <v>25</v>
      </c>
      <c r="K190" s="3">
        <v>0</v>
      </c>
      <c r="L190" s="3">
        <v>0</v>
      </c>
      <c r="M190" s="3">
        <v>32</v>
      </c>
      <c r="N190" s="3" t="s">
        <v>340</v>
      </c>
      <c r="O190" s="3" t="s">
        <v>72</v>
      </c>
      <c r="P190" s="3" t="s">
        <v>44</v>
      </c>
      <c r="Q190" s="3">
        <v>0</v>
      </c>
      <c r="R190" s="3">
        <v>66474</v>
      </c>
      <c r="S190" s="3">
        <v>663</v>
      </c>
      <c r="T190" s="3" t="s">
        <v>45</v>
      </c>
      <c r="U190" s="3">
        <v>1</v>
      </c>
      <c r="V190" s="3">
        <v>2864</v>
      </c>
      <c r="W190" s="5" t="str">
        <f t="shared" si="8"/>
        <v>650-699</v>
      </c>
      <c r="X190" s="5" t="str">
        <f t="shared" si="9"/>
        <v>High (51-75%)</v>
      </c>
      <c r="Y190" s="5" t="str">
        <f t="shared" si="10"/>
        <v>Employed</v>
      </c>
      <c r="Z190" s="3" t="str">
        <f t="shared" si="11"/>
        <v>Consumer &amp; Personal</v>
      </c>
    </row>
    <row r="191" spans="1:26" ht="17.399999999999999" x14ac:dyDescent="0.35">
      <c r="A191" s="3" t="s">
        <v>423</v>
      </c>
      <c r="B191" s="3" t="s">
        <v>424</v>
      </c>
      <c r="C191" s="4">
        <v>45441</v>
      </c>
      <c r="D191" s="3" t="s">
        <v>64</v>
      </c>
      <c r="E191" s="3">
        <v>11600</v>
      </c>
      <c r="F191" s="3">
        <v>36</v>
      </c>
      <c r="G191" s="3">
        <v>9.86</v>
      </c>
      <c r="H191" s="3">
        <v>373.54</v>
      </c>
      <c r="I191" s="3">
        <v>32.5</v>
      </c>
      <c r="J191" s="3" t="s">
        <v>99</v>
      </c>
      <c r="K191" s="3">
        <v>15</v>
      </c>
      <c r="L191" s="3">
        <v>0</v>
      </c>
      <c r="M191" s="3">
        <v>67</v>
      </c>
      <c r="N191" s="3" t="s">
        <v>93</v>
      </c>
      <c r="O191" s="3" t="s">
        <v>72</v>
      </c>
      <c r="P191" s="3" t="s">
        <v>44</v>
      </c>
      <c r="Q191" s="3">
        <v>17</v>
      </c>
      <c r="R191" s="3">
        <v>79058</v>
      </c>
      <c r="S191" s="3">
        <v>617</v>
      </c>
      <c r="T191" s="3" t="s">
        <v>45</v>
      </c>
      <c r="U191" s="3">
        <v>0</v>
      </c>
      <c r="V191" s="3">
        <v>1770</v>
      </c>
      <c r="W191" s="5" t="str">
        <f t="shared" si="8"/>
        <v>600-649</v>
      </c>
      <c r="X191" s="5" t="str">
        <f t="shared" si="9"/>
        <v>Low (&lt;=35%)</v>
      </c>
      <c r="Y191" s="5" t="str">
        <f t="shared" si="10"/>
        <v>Employed</v>
      </c>
      <c r="Z191" s="3" t="str">
        <f t="shared" si="11"/>
        <v>Investment &amp; Growth</v>
      </c>
    </row>
    <row r="192" spans="1:26" ht="17.399999999999999" x14ac:dyDescent="0.35">
      <c r="A192" s="3" t="s">
        <v>425</v>
      </c>
      <c r="B192" s="3" t="s">
        <v>424</v>
      </c>
      <c r="C192" s="4">
        <v>45361</v>
      </c>
      <c r="D192" s="3" t="s">
        <v>52</v>
      </c>
      <c r="E192" s="3">
        <v>43000</v>
      </c>
      <c r="F192" s="3">
        <v>60</v>
      </c>
      <c r="G192" s="3">
        <v>10.93</v>
      </c>
      <c r="H192" s="3">
        <v>933.42</v>
      </c>
      <c r="I192" s="3">
        <v>41</v>
      </c>
      <c r="J192" s="3" t="s">
        <v>32</v>
      </c>
      <c r="K192" s="3">
        <v>178</v>
      </c>
      <c r="L192" s="3">
        <v>1</v>
      </c>
      <c r="M192" s="3">
        <v>67</v>
      </c>
      <c r="N192" s="3" t="s">
        <v>93</v>
      </c>
      <c r="O192" s="3" t="s">
        <v>72</v>
      </c>
      <c r="P192" s="3" t="s">
        <v>44</v>
      </c>
      <c r="Q192" s="3">
        <v>17</v>
      </c>
      <c r="R192" s="3">
        <v>79058</v>
      </c>
      <c r="S192" s="3">
        <v>617</v>
      </c>
      <c r="T192" s="3" t="s">
        <v>45</v>
      </c>
      <c r="U192" s="3">
        <v>0</v>
      </c>
      <c r="V192" s="3">
        <v>1770</v>
      </c>
      <c r="W192" s="5" t="str">
        <f t="shared" si="8"/>
        <v>600-649</v>
      </c>
      <c r="X192" s="5" t="str">
        <f t="shared" si="9"/>
        <v>Manageable (36-50%)</v>
      </c>
      <c r="Y192" s="5" t="str">
        <f t="shared" si="10"/>
        <v>Employed</v>
      </c>
      <c r="Z192" s="3" t="str">
        <f t="shared" si="11"/>
        <v>Investment &amp; Growth</v>
      </c>
    </row>
    <row r="193" spans="1:26" ht="17.399999999999999" x14ac:dyDescent="0.35">
      <c r="A193" s="3" t="s">
        <v>426</v>
      </c>
      <c r="B193" s="3" t="s">
        <v>427</v>
      </c>
      <c r="C193" s="4">
        <v>45296</v>
      </c>
      <c r="D193" s="3" t="s">
        <v>35</v>
      </c>
      <c r="E193" s="3">
        <v>11200</v>
      </c>
      <c r="F193" s="3">
        <v>36</v>
      </c>
      <c r="G193" s="3">
        <v>8.16</v>
      </c>
      <c r="H193" s="3">
        <v>351.79</v>
      </c>
      <c r="I193" s="3">
        <v>57.9</v>
      </c>
      <c r="J193" s="3" t="s">
        <v>48</v>
      </c>
      <c r="K193" s="3">
        <v>0</v>
      </c>
      <c r="L193" s="3">
        <v>0</v>
      </c>
      <c r="M193" s="3">
        <v>36</v>
      </c>
      <c r="N193" s="3" t="s">
        <v>149</v>
      </c>
      <c r="O193" s="3" t="s">
        <v>72</v>
      </c>
      <c r="P193" s="3" t="s">
        <v>44</v>
      </c>
      <c r="Q193" s="3">
        <v>1</v>
      </c>
      <c r="R193" s="3">
        <v>134434</v>
      </c>
      <c r="S193" s="3">
        <v>762</v>
      </c>
      <c r="T193" s="3" t="s">
        <v>45</v>
      </c>
      <c r="U193" s="3">
        <v>0</v>
      </c>
      <c r="V193" s="3">
        <v>6130</v>
      </c>
      <c r="W193" s="5" t="str">
        <f t="shared" si="8"/>
        <v>750+</v>
      </c>
      <c r="X193" s="5" t="str">
        <f t="shared" si="9"/>
        <v>High (51-75%)</v>
      </c>
      <c r="Y193" s="5" t="str">
        <f t="shared" si="10"/>
        <v>Employed</v>
      </c>
      <c r="Z193" s="3" t="str">
        <f t="shared" si="11"/>
        <v>Consumer &amp; Personal</v>
      </c>
    </row>
    <row r="194" spans="1:26" ht="17.399999999999999" x14ac:dyDescent="0.35">
      <c r="A194" s="3" t="s">
        <v>428</v>
      </c>
      <c r="B194" s="3" t="s">
        <v>429</v>
      </c>
      <c r="C194" s="4">
        <v>45401</v>
      </c>
      <c r="D194" s="3" t="s">
        <v>24</v>
      </c>
      <c r="E194" s="3">
        <v>15600</v>
      </c>
      <c r="F194" s="3">
        <v>48</v>
      </c>
      <c r="G194" s="3">
        <v>11.77</v>
      </c>
      <c r="H194" s="3">
        <v>409.05</v>
      </c>
      <c r="I194" s="3">
        <v>60.9</v>
      </c>
      <c r="J194" s="3" t="s">
        <v>32</v>
      </c>
      <c r="K194" s="3">
        <v>120</v>
      </c>
      <c r="L194" s="3">
        <v>1</v>
      </c>
      <c r="M194" s="3">
        <v>45</v>
      </c>
      <c r="N194" s="3" t="s">
        <v>49</v>
      </c>
      <c r="O194" s="3" t="s">
        <v>79</v>
      </c>
      <c r="P194" s="3" t="s">
        <v>37</v>
      </c>
      <c r="Q194" s="3">
        <v>25</v>
      </c>
      <c r="R194" s="3">
        <v>33977</v>
      </c>
      <c r="S194" s="3">
        <v>696</v>
      </c>
      <c r="T194" s="3" t="s">
        <v>38</v>
      </c>
      <c r="U194" s="3">
        <v>0</v>
      </c>
      <c r="V194" s="3">
        <v>1316</v>
      </c>
      <c r="W194" s="5" t="str">
        <f t="shared" ref="W194:W257" si="12">IF(S194&lt;=599, "520-599", IF(S194&lt;=649, "600-649", IF(S194&lt;=699, "650-699", IF(S194&lt;=749, "700-749", "750+"))))</f>
        <v>650-699</v>
      </c>
      <c r="X194" s="5" t="str">
        <f t="shared" ref="X194:X257" si="13">IF(I194&lt;=35, "Low (&lt;=35%)", IF(I194&lt;=50, "Manageable (36-50%)", IF(I194&lt;=75, "High (51-75%)", "Critical (&gt;75%)")))</f>
        <v>High (51-75%)</v>
      </c>
      <c r="Y194" s="5" t="str">
        <f t="shared" ref="Y194:Y257" si="14">IF(OR(P194="Full-Time", P194="Part-Time", P194="Contract"), "Employed", IF(P194="Self-Employed", "Self-Employed", IF(P194="Retired", "Retired", "Other")))</f>
        <v>Employed</v>
      </c>
      <c r="Z194" s="3" t="str">
        <f t="shared" ref="Z194:Z257" si="15">IF(OR(D194="Vacation", D194="Medical Expenses", D194="Wedding", D194="Moving"), "Consumer &amp; Personal", IF(OR(D194="Debt Consolidation", D194="Major Purchase", D194="Auto Loan"), "Debt &amp; Assets", IF(OR(D194="Home Improvement", D194="Business Loan", D194="Education"), "Investment &amp; Growth", "Other")))</f>
        <v>Consumer &amp; Personal</v>
      </c>
    </row>
    <row r="195" spans="1:26" ht="17.399999999999999" x14ac:dyDescent="0.35">
      <c r="A195" s="3" t="s">
        <v>430</v>
      </c>
      <c r="B195" s="3" t="s">
        <v>431</v>
      </c>
      <c r="C195" s="4">
        <v>45613</v>
      </c>
      <c r="D195" s="3" t="s">
        <v>31</v>
      </c>
      <c r="E195" s="3">
        <v>12900</v>
      </c>
      <c r="F195" s="3">
        <v>12</v>
      </c>
      <c r="G195" s="3">
        <v>9.64</v>
      </c>
      <c r="H195" s="3">
        <v>1131.96</v>
      </c>
      <c r="I195" s="3">
        <v>61.1</v>
      </c>
      <c r="J195" s="3" t="s">
        <v>32</v>
      </c>
      <c r="K195" s="3">
        <v>58</v>
      </c>
      <c r="L195" s="3">
        <v>1</v>
      </c>
      <c r="M195" s="3">
        <v>66</v>
      </c>
      <c r="N195" s="3" t="s">
        <v>96</v>
      </c>
      <c r="O195" s="3" t="s">
        <v>72</v>
      </c>
      <c r="P195" s="3" t="s">
        <v>28</v>
      </c>
      <c r="Q195" s="3">
        <v>0</v>
      </c>
      <c r="R195" s="3">
        <v>94849</v>
      </c>
      <c r="S195" s="3">
        <v>850</v>
      </c>
      <c r="T195" s="3" t="s">
        <v>29</v>
      </c>
      <c r="U195" s="3">
        <v>0</v>
      </c>
      <c r="V195" s="3">
        <v>3695</v>
      </c>
      <c r="W195" s="5" t="str">
        <f t="shared" si="12"/>
        <v>750+</v>
      </c>
      <c r="X195" s="5" t="str">
        <f t="shared" si="13"/>
        <v>High (51-75%)</v>
      </c>
      <c r="Y195" s="5" t="str">
        <f t="shared" si="14"/>
        <v>Self-Employed</v>
      </c>
      <c r="Z195" s="3" t="str">
        <f t="shared" si="15"/>
        <v>Debt &amp; Assets</v>
      </c>
    </row>
    <row r="196" spans="1:26" ht="17.399999999999999" x14ac:dyDescent="0.35">
      <c r="A196" s="3" t="s">
        <v>432</v>
      </c>
      <c r="B196" s="3" t="s">
        <v>431</v>
      </c>
      <c r="C196" s="4">
        <v>45333</v>
      </c>
      <c r="D196" s="3" t="s">
        <v>35</v>
      </c>
      <c r="E196" s="3">
        <v>34000</v>
      </c>
      <c r="F196" s="3">
        <v>36</v>
      </c>
      <c r="G196" s="3">
        <v>8.6199999999999992</v>
      </c>
      <c r="H196" s="3">
        <v>1075.19</v>
      </c>
      <c r="I196" s="3">
        <v>60.4</v>
      </c>
      <c r="J196" s="3" t="s">
        <v>32</v>
      </c>
      <c r="K196" s="3">
        <v>156</v>
      </c>
      <c r="L196" s="3">
        <v>1</v>
      </c>
      <c r="M196" s="3">
        <v>66</v>
      </c>
      <c r="N196" s="3" t="s">
        <v>96</v>
      </c>
      <c r="O196" s="3" t="s">
        <v>72</v>
      </c>
      <c r="P196" s="3" t="s">
        <v>28</v>
      </c>
      <c r="Q196" s="3">
        <v>0</v>
      </c>
      <c r="R196" s="3">
        <v>94849</v>
      </c>
      <c r="S196" s="3">
        <v>850</v>
      </c>
      <c r="T196" s="3" t="s">
        <v>29</v>
      </c>
      <c r="U196" s="3">
        <v>0</v>
      </c>
      <c r="V196" s="3">
        <v>3695</v>
      </c>
      <c r="W196" s="5" t="str">
        <f t="shared" si="12"/>
        <v>750+</v>
      </c>
      <c r="X196" s="5" t="str">
        <f t="shared" si="13"/>
        <v>High (51-75%)</v>
      </c>
      <c r="Y196" s="5" t="str">
        <f t="shared" si="14"/>
        <v>Self-Employed</v>
      </c>
      <c r="Z196" s="3" t="str">
        <f t="shared" si="15"/>
        <v>Consumer &amp; Personal</v>
      </c>
    </row>
    <row r="197" spans="1:26" ht="17.399999999999999" x14ac:dyDescent="0.35">
      <c r="A197" s="3" t="s">
        <v>433</v>
      </c>
      <c r="B197" s="3" t="s">
        <v>434</v>
      </c>
      <c r="C197" s="4">
        <v>45709</v>
      </c>
      <c r="D197" s="3" t="s">
        <v>41</v>
      </c>
      <c r="E197" s="3">
        <v>31800</v>
      </c>
      <c r="F197" s="3">
        <v>48</v>
      </c>
      <c r="G197" s="3">
        <v>9.85</v>
      </c>
      <c r="H197" s="3">
        <v>804.24</v>
      </c>
      <c r="I197" s="3">
        <v>56.2</v>
      </c>
      <c r="J197" s="3" t="s">
        <v>32</v>
      </c>
      <c r="K197" s="3">
        <v>139</v>
      </c>
      <c r="L197" s="3">
        <v>1</v>
      </c>
      <c r="M197" s="3">
        <v>57</v>
      </c>
      <c r="N197" s="3" t="s">
        <v>49</v>
      </c>
      <c r="O197" s="3" t="s">
        <v>72</v>
      </c>
      <c r="P197" s="3" t="s">
        <v>73</v>
      </c>
      <c r="Q197" s="3">
        <v>15</v>
      </c>
      <c r="R197" s="3">
        <v>50003</v>
      </c>
      <c r="S197" s="3">
        <v>677</v>
      </c>
      <c r="T197" s="3" t="s">
        <v>45</v>
      </c>
      <c r="U197" s="3">
        <v>0</v>
      </c>
      <c r="V197" s="3">
        <v>1539</v>
      </c>
      <c r="W197" s="5" t="str">
        <f t="shared" si="12"/>
        <v>650-699</v>
      </c>
      <c r="X197" s="5" t="str">
        <f t="shared" si="13"/>
        <v>High (51-75%)</v>
      </c>
      <c r="Y197" s="5" t="str">
        <f t="shared" si="14"/>
        <v>Employed</v>
      </c>
      <c r="Z197" s="3" t="str">
        <f t="shared" si="15"/>
        <v>Debt &amp; Assets</v>
      </c>
    </row>
    <row r="198" spans="1:26" ht="17.399999999999999" x14ac:dyDescent="0.35">
      <c r="A198" s="3" t="s">
        <v>435</v>
      </c>
      <c r="B198" s="3" t="s">
        <v>436</v>
      </c>
      <c r="C198" s="4">
        <v>45795</v>
      </c>
      <c r="D198" s="3" t="s">
        <v>61</v>
      </c>
      <c r="E198" s="3">
        <v>40500</v>
      </c>
      <c r="F198" s="3">
        <v>36</v>
      </c>
      <c r="G198" s="3">
        <v>6.81</v>
      </c>
      <c r="H198" s="3">
        <v>1247.01</v>
      </c>
      <c r="I198" s="3">
        <v>56.1</v>
      </c>
      <c r="J198" s="3" t="s">
        <v>48</v>
      </c>
      <c r="K198" s="3">
        <v>0</v>
      </c>
      <c r="L198" s="3">
        <v>0</v>
      </c>
      <c r="M198" s="3">
        <v>61</v>
      </c>
      <c r="N198" s="3" t="s">
        <v>93</v>
      </c>
      <c r="O198" s="3" t="s">
        <v>43</v>
      </c>
      <c r="P198" s="3" t="s">
        <v>37</v>
      </c>
      <c r="Q198" s="3">
        <v>34</v>
      </c>
      <c r="R198" s="3">
        <v>98348</v>
      </c>
      <c r="S198" s="3">
        <v>845</v>
      </c>
      <c r="T198" s="3" t="s">
        <v>38</v>
      </c>
      <c r="U198" s="3">
        <v>2</v>
      </c>
      <c r="V198" s="3">
        <v>3354</v>
      </c>
      <c r="W198" s="5" t="str">
        <f t="shared" si="12"/>
        <v>750+</v>
      </c>
      <c r="X198" s="5" t="str">
        <f t="shared" si="13"/>
        <v>High (51-75%)</v>
      </c>
      <c r="Y198" s="5" t="str">
        <f t="shared" si="14"/>
        <v>Employed</v>
      </c>
      <c r="Z198" s="3" t="str">
        <f t="shared" si="15"/>
        <v>Investment &amp; Growth</v>
      </c>
    </row>
    <row r="199" spans="1:26" ht="17.399999999999999" x14ac:dyDescent="0.35">
      <c r="A199" s="3" t="s">
        <v>437</v>
      </c>
      <c r="B199" s="3" t="s">
        <v>438</v>
      </c>
      <c r="C199" s="4">
        <v>45464</v>
      </c>
      <c r="D199" s="3" t="s">
        <v>61</v>
      </c>
      <c r="E199" s="3">
        <v>7000</v>
      </c>
      <c r="F199" s="3">
        <v>60</v>
      </c>
      <c r="G199" s="3">
        <v>12.59</v>
      </c>
      <c r="H199" s="3">
        <v>157.81</v>
      </c>
      <c r="I199" s="3">
        <v>29.2</v>
      </c>
      <c r="J199" s="3" t="s">
        <v>32</v>
      </c>
      <c r="K199" s="3">
        <v>80</v>
      </c>
      <c r="L199" s="3">
        <v>1</v>
      </c>
      <c r="M199" s="3">
        <v>40</v>
      </c>
      <c r="N199" s="3" t="s">
        <v>53</v>
      </c>
      <c r="O199" s="3" t="s">
        <v>43</v>
      </c>
      <c r="P199" s="3" t="s">
        <v>73</v>
      </c>
      <c r="Q199" s="3">
        <v>5</v>
      </c>
      <c r="R199" s="3">
        <v>30770</v>
      </c>
      <c r="S199" s="3">
        <v>738</v>
      </c>
      <c r="T199" s="3" t="s">
        <v>29</v>
      </c>
      <c r="U199" s="3">
        <v>1</v>
      </c>
      <c r="V199" s="3">
        <v>590</v>
      </c>
      <c r="W199" s="5" t="str">
        <f t="shared" si="12"/>
        <v>700-749</v>
      </c>
      <c r="X199" s="5" t="str">
        <f t="shared" si="13"/>
        <v>Low (&lt;=35%)</v>
      </c>
      <c r="Y199" s="5" t="str">
        <f t="shared" si="14"/>
        <v>Employed</v>
      </c>
      <c r="Z199" s="3" t="str">
        <f t="shared" si="15"/>
        <v>Investment &amp; Growth</v>
      </c>
    </row>
    <row r="200" spans="1:26" ht="17.399999999999999" x14ac:dyDescent="0.35">
      <c r="A200" s="3" t="s">
        <v>439</v>
      </c>
      <c r="B200" s="3" t="s">
        <v>440</v>
      </c>
      <c r="C200" s="4">
        <v>45803</v>
      </c>
      <c r="D200" s="3" t="s">
        <v>77</v>
      </c>
      <c r="E200" s="3">
        <v>21400</v>
      </c>
      <c r="F200" s="3">
        <v>24</v>
      </c>
      <c r="G200" s="3">
        <v>15.11</v>
      </c>
      <c r="H200" s="3">
        <v>1038.73</v>
      </c>
      <c r="I200" s="3">
        <v>71.099999999999994</v>
      </c>
      <c r="J200" s="3" t="s">
        <v>32</v>
      </c>
      <c r="K200" s="3">
        <v>178</v>
      </c>
      <c r="L200" s="3">
        <v>1</v>
      </c>
      <c r="M200" s="3">
        <v>55</v>
      </c>
      <c r="N200" s="3" t="s">
        <v>49</v>
      </c>
      <c r="O200" s="3" t="s">
        <v>43</v>
      </c>
      <c r="P200" s="3" t="s">
        <v>28</v>
      </c>
      <c r="Q200" s="3">
        <v>24</v>
      </c>
      <c r="R200" s="3">
        <v>72986</v>
      </c>
      <c r="S200" s="3">
        <v>545</v>
      </c>
      <c r="T200" s="3" t="s">
        <v>29</v>
      </c>
      <c r="U200" s="3">
        <v>2</v>
      </c>
      <c r="V200" s="3">
        <v>3287</v>
      </c>
      <c r="W200" s="5" t="str">
        <f t="shared" si="12"/>
        <v>520-599</v>
      </c>
      <c r="X200" s="5" t="str">
        <f t="shared" si="13"/>
        <v>High (51-75%)</v>
      </c>
      <c r="Y200" s="5" t="str">
        <f t="shared" si="14"/>
        <v>Self-Employed</v>
      </c>
      <c r="Z200" s="3" t="str">
        <f t="shared" si="15"/>
        <v>Consumer &amp; Personal</v>
      </c>
    </row>
    <row r="201" spans="1:26" ht="17.399999999999999" x14ac:dyDescent="0.35">
      <c r="A201" s="3" t="s">
        <v>441</v>
      </c>
      <c r="B201" s="3" t="s">
        <v>442</v>
      </c>
      <c r="C201" s="4">
        <v>45815</v>
      </c>
      <c r="D201" s="3" t="s">
        <v>31</v>
      </c>
      <c r="E201" s="3">
        <v>30000</v>
      </c>
      <c r="F201" s="3">
        <v>48</v>
      </c>
      <c r="G201" s="3">
        <v>13.97</v>
      </c>
      <c r="H201" s="3">
        <v>819.34</v>
      </c>
      <c r="I201" s="3">
        <v>27.9</v>
      </c>
      <c r="J201" s="3" t="s">
        <v>48</v>
      </c>
      <c r="K201" s="3">
        <v>0</v>
      </c>
      <c r="L201" s="3">
        <v>0</v>
      </c>
      <c r="M201" s="3">
        <v>38</v>
      </c>
      <c r="N201" s="3" t="s">
        <v>89</v>
      </c>
      <c r="O201" s="3" t="s">
        <v>72</v>
      </c>
      <c r="P201" s="3" t="s">
        <v>37</v>
      </c>
      <c r="Q201" s="3">
        <v>3</v>
      </c>
      <c r="R201" s="3">
        <v>60396</v>
      </c>
      <c r="S201" s="3">
        <v>658</v>
      </c>
      <c r="T201" s="3" t="s">
        <v>29</v>
      </c>
      <c r="U201" s="3">
        <v>2</v>
      </c>
      <c r="V201" s="3">
        <v>587</v>
      </c>
      <c r="W201" s="5" t="str">
        <f t="shared" si="12"/>
        <v>650-699</v>
      </c>
      <c r="X201" s="5" t="str">
        <f t="shared" si="13"/>
        <v>Low (&lt;=35%)</v>
      </c>
      <c r="Y201" s="5" t="str">
        <f t="shared" si="14"/>
        <v>Employed</v>
      </c>
      <c r="Z201" s="3" t="str">
        <f t="shared" si="15"/>
        <v>Debt &amp; Assets</v>
      </c>
    </row>
    <row r="202" spans="1:26" ht="17.399999999999999" x14ac:dyDescent="0.35">
      <c r="A202" s="3" t="s">
        <v>443</v>
      </c>
      <c r="B202" s="3" t="s">
        <v>444</v>
      </c>
      <c r="C202" s="4">
        <v>45346</v>
      </c>
      <c r="D202" s="3" t="s">
        <v>24</v>
      </c>
      <c r="E202" s="3">
        <v>28300</v>
      </c>
      <c r="F202" s="3">
        <v>12</v>
      </c>
      <c r="G202" s="3">
        <v>7.71</v>
      </c>
      <c r="H202" s="3">
        <v>2457.98</v>
      </c>
      <c r="I202" s="3">
        <v>65.099999999999994</v>
      </c>
      <c r="J202" s="3" t="s">
        <v>48</v>
      </c>
      <c r="K202" s="3">
        <v>0</v>
      </c>
      <c r="L202" s="3">
        <v>0</v>
      </c>
      <c r="M202" s="3">
        <v>44</v>
      </c>
      <c r="N202" s="3" t="s">
        <v>213</v>
      </c>
      <c r="O202" s="3" t="s">
        <v>43</v>
      </c>
      <c r="P202" s="3" t="s">
        <v>44</v>
      </c>
      <c r="Q202" s="3">
        <v>22</v>
      </c>
      <c r="R202" s="3">
        <v>51770</v>
      </c>
      <c r="S202" s="3">
        <v>767</v>
      </c>
      <c r="T202" s="3" t="s">
        <v>45</v>
      </c>
      <c r="U202" s="3">
        <v>3</v>
      </c>
      <c r="V202" s="3">
        <v>351</v>
      </c>
      <c r="W202" s="5" t="str">
        <f t="shared" si="12"/>
        <v>750+</v>
      </c>
      <c r="X202" s="5" t="str">
        <f t="shared" si="13"/>
        <v>High (51-75%)</v>
      </c>
      <c r="Y202" s="5" t="str">
        <f t="shared" si="14"/>
        <v>Employed</v>
      </c>
      <c r="Z202" s="3" t="str">
        <f t="shared" si="15"/>
        <v>Consumer &amp; Personal</v>
      </c>
    </row>
    <row r="203" spans="1:26" ht="17.399999999999999" x14ac:dyDescent="0.35">
      <c r="A203" s="3" t="s">
        <v>445</v>
      </c>
      <c r="B203" s="3" t="s">
        <v>446</v>
      </c>
      <c r="C203" s="4">
        <v>45370</v>
      </c>
      <c r="D203" s="3" t="s">
        <v>77</v>
      </c>
      <c r="E203" s="3">
        <v>9300</v>
      </c>
      <c r="F203" s="3">
        <v>60</v>
      </c>
      <c r="G203" s="3">
        <v>13.93</v>
      </c>
      <c r="H203" s="3">
        <v>216.06</v>
      </c>
      <c r="I203" s="3">
        <v>50.9</v>
      </c>
      <c r="J203" s="3" t="s">
        <v>48</v>
      </c>
      <c r="K203" s="3">
        <v>0</v>
      </c>
      <c r="L203" s="3">
        <v>0</v>
      </c>
      <c r="M203" s="3">
        <v>51</v>
      </c>
      <c r="N203" s="3" t="s">
        <v>93</v>
      </c>
      <c r="O203" s="3" t="s">
        <v>27</v>
      </c>
      <c r="P203" s="3" t="s">
        <v>37</v>
      </c>
      <c r="Q203" s="3">
        <v>20</v>
      </c>
      <c r="R203" s="3">
        <v>50247</v>
      </c>
      <c r="S203" s="3">
        <v>551</v>
      </c>
      <c r="T203" s="3" t="s">
        <v>29</v>
      </c>
      <c r="U203" s="3">
        <v>1</v>
      </c>
      <c r="V203" s="3">
        <v>1916</v>
      </c>
      <c r="W203" s="5" t="str">
        <f t="shared" si="12"/>
        <v>520-599</v>
      </c>
      <c r="X203" s="5" t="str">
        <f t="shared" si="13"/>
        <v>High (51-75%)</v>
      </c>
      <c r="Y203" s="5" t="str">
        <f t="shared" si="14"/>
        <v>Employed</v>
      </c>
      <c r="Z203" s="3" t="str">
        <f t="shared" si="15"/>
        <v>Consumer &amp; Personal</v>
      </c>
    </row>
    <row r="204" spans="1:26" ht="17.399999999999999" x14ac:dyDescent="0.35">
      <c r="A204" s="3" t="s">
        <v>447</v>
      </c>
      <c r="B204" s="3" t="s">
        <v>448</v>
      </c>
      <c r="C204" s="4">
        <v>45310</v>
      </c>
      <c r="D204" s="3" t="s">
        <v>41</v>
      </c>
      <c r="E204" s="3">
        <v>21500</v>
      </c>
      <c r="F204" s="3">
        <v>36</v>
      </c>
      <c r="G204" s="3">
        <v>10.93</v>
      </c>
      <c r="H204" s="3">
        <v>703.17</v>
      </c>
      <c r="I204" s="3">
        <v>67</v>
      </c>
      <c r="J204" s="3" t="s">
        <v>48</v>
      </c>
      <c r="K204" s="3">
        <v>0</v>
      </c>
      <c r="L204" s="3">
        <v>0</v>
      </c>
      <c r="M204" s="3">
        <v>52</v>
      </c>
      <c r="N204" s="3" t="s">
        <v>128</v>
      </c>
      <c r="O204" s="3" t="s">
        <v>79</v>
      </c>
      <c r="P204" s="3" t="s">
        <v>28</v>
      </c>
      <c r="Q204" s="3">
        <v>3</v>
      </c>
      <c r="R204" s="3">
        <v>38228</v>
      </c>
      <c r="S204" s="3">
        <v>707</v>
      </c>
      <c r="T204" s="3" t="s">
        <v>29</v>
      </c>
      <c r="U204" s="3">
        <v>0</v>
      </c>
      <c r="V204" s="3">
        <v>1432</v>
      </c>
      <c r="W204" s="5" t="str">
        <f t="shared" si="12"/>
        <v>700-749</v>
      </c>
      <c r="X204" s="5" t="str">
        <f t="shared" si="13"/>
        <v>High (51-75%)</v>
      </c>
      <c r="Y204" s="5" t="str">
        <f t="shared" si="14"/>
        <v>Self-Employed</v>
      </c>
      <c r="Z204" s="3" t="str">
        <f t="shared" si="15"/>
        <v>Debt &amp; Assets</v>
      </c>
    </row>
    <row r="205" spans="1:26" ht="17.399999999999999" x14ac:dyDescent="0.35">
      <c r="A205" s="3" t="s">
        <v>449</v>
      </c>
      <c r="B205" s="3" t="s">
        <v>450</v>
      </c>
      <c r="C205" s="4">
        <v>45325</v>
      </c>
      <c r="D205" s="3" t="s">
        <v>31</v>
      </c>
      <c r="E205" s="3">
        <v>42900</v>
      </c>
      <c r="F205" s="3">
        <v>48</v>
      </c>
      <c r="G205" s="3">
        <v>9.85</v>
      </c>
      <c r="H205" s="3">
        <v>1084.97</v>
      </c>
      <c r="I205" s="3">
        <v>33.299999999999997</v>
      </c>
      <c r="J205" s="3" t="s">
        <v>25</v>
      </c>
      <c r="K205" s="3">
        <v>0</v>
      </c>
      <c r="L205" s="3">
        <v>0</v>
      </c>
      <c r="M205" s="3">
        <v>49</v>
      </c>
      <c r="N205" s="3" t="s">
        <v>123</v>
      </c>
      <c r="O205" s="3" t="s">
        <v>72</v>
      </c>
      <c r="P205" s="3" t="s">
        <v>28</v>
      </c>
      <c r="Q205" s="3">
        <v>10</v>
      </c>
      <c r="R205" s="3">
        <v>131359</v>
      </c>
      <c r="S205" s="3">
        <v>747</v>
      </c>
      <c r="T205" s="3" t="s">
        <v>29</v>
      </c>
      <c r="U205" s="3">
        <v>2</v>
      </c>
      <c r="V205" s="3">
        <v>2557</v>
      </c>
      <c r="W205" s="5" t="str">
        <f t="shared" si="12"/>
        <v>700-749</v>
      </c>
      <c r="X205" s="5" t="str">
        <f t="shared" si="13"/>
        <v>Low (&lt;=35%)</v>
      </c>
      <c r="Y205" s="5" t="str">
        <f t="shared" si="14"/>
        <v>Self-Employed</v>
      </c>
      <c r="Z205" s="3" t="str">
        <f t="shared" si="15"/>
        <v>Debt &amp; Assets</v>
      </c>
    </row>
    <row r="206" spans="1:26" ht="17.399999999999999" x14ac:dyDescent="0.35">
      <c r="A206" s="3" t="s">
        <v>451</v>
      </c>
      <c r="B206" s="3" t="s">
        <v>450</v>
      </c>
      <c r="C206" s="4">
        <v>45404</v>
      </c>
      <c r="D206" s="3" t="s">
        <v>56</v>
      </c>
      <c r="E206" s="3">
        <v>8500</v>
      </c>
      <c r="F206" s="3">
        <v>48</v>
      </c>
      <c r="G206" s="3">
        <v>9.99</v>
      </c>
      <c r="H206" s="3">
        <v>215.54</v>
      </c>
      <c r="I206" s="3">
        <v>25.3</v>
      </c>
      <c r="J206" s="3" t="s">
        <v>48</v>
      </c>
      <c r="K206" s="3">
        <v>0</v>
      </c>
      <c r="L206" s="3">
        <v>0</v>
      </c>
      <c r="M206" s="3">
        <v>49</v>
      </c>
      <c r="N206" s="3" t="s">
        <v>123</v>
      </c>
      <c r="O206" s="3" t="s">
        <v>72</v>
      </c>
      <c r="P206" s="3" t="s">
        <v>28</v>
      </c>
      <c r="Q206" s="3">
        <v>10</v>
      </c>
      <c r="R206" s="3">
        <v>131359</v>
      </c>
      <c r="S206" s="3">
        <v>747</v>
      </c>
      <c r="T206" s="3" t="s">
        <v>29</v>
      </c>
      <c r="U206" s="3">
        <v>2</v>
      </c>
      <c r="V206" s="3">
        <v>2557</v>
      </c>
      <c r="W206" s="5" t="str">
        <f t="shared" si="12"/>
        <v>700-749</v>
      </c>
      <c r="X206" s="5" t="str">
        <f t="shared" si="13"/>
        <v>Low (&lt;=35%)</v>
      </c>
      <c r="Y206" s="5" t="str">
        <f t="shared" si="14"/>
        <v>Self-Employed</v>
      </c>
      <c r="Z206" s="3" t="str">
        <f t="shared" si="15"/>
        <v>Consumer &amp; Personal</v>
      </c>
    </row>
    <row r="207" spans="1:26" ht="17.399999999999999" x14ac:dyDescent="0.35">
      <c r="A207" s="3" t="s">
        <v>452</v>
      </c>
      <c r="B207" s="3" t="s">
        <v>453</v>
      </c>
      <c r="C207" s="4">
        <v>45561</v>
      </c>
      <c r="D207" s="3" t="s">
        <v>24</v>
      </c>
      <c r="E207" s="3">
        <v>36800</v>
      </c>
      <c r="F207" s="3">
        <v>60</v>
      </c>
      <c r="G207" s="3">
        <v>7.78</v>
      </c>
      <c r="H207" s="3">
        <v>742.3</v>
      </c>
      <c r="I207" s="3">
        <v>39.5</v>
      </c>
      <c r="J207" s="3" t="s">
        <v>99</v>
      </c>
      <c r="K207" s="3">
        <v>30</v>
      </c>
      <c r="L207" s="3">
        <v>0</v>
      </c>
      <c r="M207" s="3">
        <v>55</v>
      </c>
      <c r="N207" s="3" t="s">
        <v>128</v>
      </c>
      <c r="O207" s="3" t="s">
        <v>79</v>
      </c>
      <c r="P207" s="3" t="s">
        <v>37</v>
      </c>
      <c r="Q207" s="3">
        <v>11</v>
      </c>
      <c r="R207" s="3">
        <v>49011</v>
      </c>
      <c r="S207" s="3">
        <v>750</v>
      </c>
      <c r="T207" s="3" t="s">
        <v>45</v>
      </c>
      <c r="U207" s="3">
        <v>0</v>
      </c>
      <c r="V207" s="3">
        <v>873</v>
      </c>
      <c r="W207" s="5" t="str">
        <f t="shared" si="12"/>
        <v>750+</v>
      </c>
      <c r="X207" s="5" t="str">
        <f t="shared" si="13"/>
        <v>Manageable (36-50%)</v>
      </c>
      <c r="Y207" s="5" t="str">
        <f t="shared" si="14"/>
        <v>Employed</v>
      </c>
      <c r="Z207" s="3" t="str">
        <f t="shared" si="15"/>
        <v>Consumer &amp; Personal</v>
      </c>
    </row>
    <row r="208" spans="1:26" ht="17.399999999999999" x14ac:dyDescent="0.35">
      <c r="A208" s="3" t="s">
        <v>454</v>
      </c>
      <c r="B208" s="3" t="s">
        <v>455</v>
      </c>
      <c r="C208" s="4">
        <v>45667</v>
      </c>
      <c r="D208" s="3" t="s">
        <v>41</v>
      </c>
      <c r="E208" s="3">
        <v>2500</v>
      </c>
      <c r="F208" s="3">
        <v>12</v>
      </c>
      <c r="G208" s="3">
        <v>8.11</v>
      </c>
      <c r="H208" s="3">
        <v>217.6</v>
      </c>
      <c r="I208" s="3">
        <v>32.299999999999997</v>
      </c>
      <c r="J208" s="3" t="s">
        <v>48</v>
      </c>
      <c r="K208" s="3">
        <v>0</v>
      </c>
      <c r="L208" s="3">
        <v>0</v>
      </c>
      <c r="M208" s="3">
        <v>40</v>
      </c>
      <c r="N208" s="3" t="s">
        <v>89</v>
      </c>
      <c r="O208" s="3" t="s">
        <v>79</v>
      </c>
      <c r="P208" s="3" t="s">
        <v>73</v>
      </c>
      <c r="Q208" s="3">
        <v>11</v>
      </c>
      <c r="R208" s="3">
        <v>26997</v>
      </c>
      <c r="S208" s="3">
        <v>752</v>
      </c>
      <c r="T208" s="3" t="s">
        <v>45</v>
      </c>
      <c r="U208" s="3">
        <v>3</v>
      </c>
      <c r="V208" s="3">
        <v>509</v>
      </c>
      <c r="W208" s="5" t="str">
        <f t="shared" si="12"/>
        <v>750+</v>
      </c>
      <c r="X208" s="5" t="str">
        <f t="shared" si="13"/>
        <v>Low (&lt;=35%)</v>
      </c>
      <c r="Y208" s="5" t="str">
        <f t="shared" si="14"/>
        <v>Employed</v>
      </c>
      <c r="Z208" s="3" t="str">
        <f t="shared" si="15"/>
        <v>Debt &amp; Assets</v>
      </c>
    </row>
    <row r="209" spans="1:26" ht="17.399999999999999" x14ac:dyDescent="0.35">
      <c r="A209" s="3" t="s">
        <v>456</v>
      </c>
      <c r="B209" s="3" t="s">
        <v>457</v>
      </c>
      <c r="C209" s="4">
        <v>45349</v>
      </c>
      <c r="D209" s="3" t="s">
        <v>52</v>
      </c>
      <c r="E209" s="3">
        <v>15400</v>
      </c>
      <c r="F209" s="3">
        <v>36</v>
      </c>
      <c r="G209" s="3">
        <v>12.59</v>
      </c>
      <c r="H209" s="3">
        <v>515.85</v>
      </c>
      <c r="I209" s="3">
        <v>56.6</v>
      </c>
      <c r="J209" s="3" t="s">
        <v>99</v>
      </c>
      <c r="K209" s="3">
        <v>0</v>
      </c>
      <c r="L209" s="3">
        <v>0</v>
      </c>
      <c r="M209" s="3">
        <v>49</v>
      </c>
      <c r="N209" s="3" t="s">
        <v>149</v>
      </c>
      <c r="O209" s="3" t="s">
        <v>79</v>
      </c>
      <c r="P209" s="3" t="s">
        <v>85</v>
      </c>
      <c r="Q209" s="3">
        <v>21</v>
      </c>
      <c r="R209" s="3">
        <v>43915</v>
      </c>
      <c r="S209" s="3">
        <v>568</v>
      </c>
      <c r="T209" s="3" t="s">
        <v>45</v>
      </c>
      <c r="U209" s="3">
        <v>1</v>
      </c>
      <c r="V209" s="3">
        <v>1555</v>
      </c>
      <c r="W209" s="5" t="str">
        <f t="shared" si="12"/>
        <v>520-599</v>
      </c>
      <c r="X209" s="5" t="str">
        <f t="shared" si="13"/>
        <v>High (51-75%)</v>
      </c>
      <c r="Y209" s="5" t="str">
        <f t="shared" si="14"/>
        <v>Retired</v>
      </c>
      <c r="Z209" s="3" t="str">
        <f t="shared" si="15"/>
        <v>Investment &amp; Growth</v>
      </c>
    </row>
    <row r="210" spans="1:26" ht="17.399999999999999" x14ac:dyDescent="0.35">
      <c r="A210" s="3" t="s">
        <v>458</v>
      </c>
      <c r="B210" s="3" t="s">
        <v>457</v>
      </c>
      <c r="C210" s="4">
        <v>45465</v>
      </c>
      <c r="D210" s="3" t="s">
        <v>77</v>
      </c>
      <c r="E210" s="3">
        <v>12800</v>
      </c>
      <c r="F210" s="3">
        <v>36</v>
      </c>
      <c r="G210" s="3">
        <v>11.11</v>
      </c>
      <c r="H210" s="3">
        <v>419.72</v>
      </c>
      <c r="I210" s="3">
        <v>54</v>
      </c>
      <c r="J210" s="3" t="s">
        <v>32</v>
      </c>
      <c r="K210" s="3">
        <v>113</v>
      </c>
      <c r="L210" s="3">
        <v>1</v>
      </c>
      <c r="M210" s="3">
        <v>49</v>
      </c>
      <c r="N210" s="3" t="s">
        <v>149</v>
      </c>
      <c r="O210" s="3" t="s">
        <v>79</v>
      </c>
      <c r="P210" s="3" t="s">
        <v>85</v>
      </c>
      <c r="Q210" s="3">
        <v>21</v>
      </c>
      <c r="R210" s="3">
        <v>43915</v>
      </c>
      <c r="S210" s="3">
        <v>568</v>
      </c>
      <c r="T210" s="3" t="s">
        <v>45</v>
      </c>
      <c r="U210" s="3">
        <v>1</v>
      </c>
      <c r="V210" s="3">
        <v>1555</v>
      </c>
      <c r="W210" s="5" t="str">
        <f t="shared" si="12"/>
        <v>520-599</v>
      </c>
      <c r="X210" s="5" t="str">
        <f t="shared" si="13"/>
        <v>High (51-75%)</v>
      </c>
      <c r="Y210" s="5" t="str">
        <f t="shared" si="14"/>
        <v>Retired</v>
      </c>
      <c r="Z210" s="3" t="str">
        <f t="shared" si="15"/>
        <v>Consumer &amp; Personal</v>
      </c>
    </row>
    <row r="211" spans="1:26" ht="17.399999999999999" x14ac:dyDescent="0.35">
      <c r="A211" s="3" t="s">
        <v>459</v>
      </c>
      <c r="B211" s="3" t="s">
        <v>460</v>
      </c>
      <c r="C211" s="4">
        <v>45772</v>
      </c>
      <c r="D211" s="3" t="s">
        <v>31</v>
      </c>
      <c r="E211" s="3">
        <v>45300</v>
      </c>
      <c r="F211" s="3">
        <v>36</v>
      </c>
      <c r="G211" s="3">
        <v>7.2</v>
      </c>
      <c r="H211" s="3">
        <v>1402.88</v>
      </c>
      <c r="I211" s="3">
        <v>36.299999999999997</v>
      </c>
      <c r="J211" s="3" t="s">
        <v>99</v>
      </c>
      <c r="K211" s="3">
        <v>30</v>
      </c>
      <c r="L211" s="3">
        <v>0</v>
      </c>
      <c r="M211" s="3">
        <v>32</v>
      </c>
      <c r="N211" s="3" t="s">
        <v>62</v>
      </c>
      <c r="O211" s="3" t="s">
        <v>58</v>
      </c>
      <c r="P211" s="3" t="s">
        <v>37</v>
      </c>
      <c r="Q211" s="3">
        <v>0</v>
      </c>
      <c r="R211" s="3">
        <v>129991</v>
      </c>
      <c r="S211" s="3">
        <v>774</v>
      </c>
      <c r="T211" s="3" t="s">
        <v>38</v>
      </c>
      <c r="U211" s="3">
        <v>2</v>
      </c>
      <c r="V211" s="3">
        <v>2525</v>
      </c>
      <c r="W211" s="5" t="str">
        <f t="shared" si="12"/>
        <v>750+</v>
      </c>
      <c r="X211" s="5" t="str">
        <f t="shared" si="13"/>
        <v>Manageable (36-50%)</v>
      </c>
      <c r="Y211" s="5" t="str">
        <f t="shared" si="14"/>
        <v>Employed</v>
      </c>
      <c r="Z211" s="3" t="str">
        <f t="shared" si="15"/>
        <v>Debt &amp; Assets</v>
      </c>
    </row>
    <row r="212" spans="1:26" ht="17.399999999999999" x14ac:dyDescent="0.35">
      <c r="A212" s="3" t="s">
        <v>461</v>
      </c>
      <c r="B212" s="3" t="s">
        <v>462</v>
      </c>
      <c r="C212" s="4">
        <v>45806</v>
      </c>
      <c r="D212" s="3" t="s">
        <v>77</v>
      </c>
      <c r="E212" s="3">
        <v>14800</v>
      </c>
      <c r="F212" s="3">
        <v>24</v>
      </c>
      <c r="G212" s="3">
        <v>8.93</v>
      </c>
      <c r="H212" s="3">
        <v>675.66</v>
      </c>
      <c r="I212" s="3">
        <v>23.8</v>
      </c>
      <c r="J212" s="3" t="s">
        <v>48</v>
      </c>
      <c r="K212" s="3">
        <v>0</v>
      </c>
      <c r="L212" s="3">
        <v>0</v>
      </c>
      <c r="M212" s="3">
        <v>46</v>
      </c>
      <c r="N212" s="3" t="s">
        <v>179</v>
      </c>
      <c r="O212" s="3" t="s">
        <v>72</v>
      </c>
      <c r="P212" s="3" t="s">
        <v>37</v>
      </c>
      <c r="Q212" s="3">
        <v>11</v>
      </c>
      <c r="R212" s="3">
        <v>67764</v>
      </c>
      <c r="S212" s="3">
        <v>765</v>
      </c>
      <c r="T212" s="3" t="s">
        <v>45</v>
      </c>
      <c r="U212" s="3">
        <v>0</v>
      </c>
      <c r="V212" s="3">
        <v>671</v>
      </c>
      <c r="W212" s="5" t="str">
        <f t="shared" si="12"/>
        <v>750+</v>
      </c>
      <c r="X212" s="5" t="str">
        <f t="shared" si="13"/>
        <v>Low (&lt;=35%)</v>
      </c>
      <c r="Y212" s="5" t="str">
        <f t="shared" si="14"/>
        <v>Employed</v>
      </c>
      <c r="Z212" s="3" t="str">
        <f t="shared" si="15"/>
        <v>Consumer &amp; Personal</v>
      </c>
    </row>
    <row r="213" spans="1:26" ht="17.399999999999999" x14ac:dyDescent="0.35">
      <c r="A213" s="3" t="s">
        <v>463</v>
      </c>
      <c r="B213" s="3" t="s">
        <v>464</v>
      </c>
      <c r="C213" s="4">
        <v>45511</v>
      </c>
      <c r="D213" s="3" t="s">
        <v>31</v>
      </c>
      <c r="E213" s="3">
        <v>11400</v>
      </c>
      <c r="F213" s="3">
        <v>12</v>
      </c>
      <c r="G213" s="3">
        <v>14.49</v>
      </c>
      <c r="H213" s="3">
        <v>1026.2</v>
      </c>
      <c r="I213" s="3">
        <v>90.3</v>
      </c>
      <c r="J213" s="3" t="s">
        <v>32</v>
      </c>
      <c r="K213" s="3">
        <v>42</v>
      </c>
      <c r="L213" s="3">
        <v>1</v>
      </c>
      <c r="M213" s="3">
        <v>45</v>
      </c>
      <c r="N213" s="3" t="s">
        <v>123</v>
      </c>
      <c r="O213" s="3" t="s">
        <v>43</v>
      </c>
      <c r="P213" s="3" t="s">
        <v>73</v>
      </c>
      <c r="Q213" s="3">
        <v>0</v>
      </c>
      <c r="R213" s="3">
        <v>31088</v>
      </c>
      <c r="S213" s="3">
        <v>583</v>
      </c>
      <c r="T213" s="3" t="s">
        <v>29</v>
      </c>
      <c r="U213" s="3">
        <v>1</v>
      </c>
      <c r="V213" s="3">
        <v>1312</v>
      </c>
      <c r="W213" s="5" t="str">
        <f t="shared" si="12"/>
        <v>520-599</v>
      </c>
      <c r="X213" s="5" t="str">
        <f t="shared" si="13"/>
        <v>Critical (&gt;75%)</v>
      </c>
      <c r="Y213" s="5" t="str">
        <f t="shared" si="14"/>
        <v>Employed</v>
      </c>
      <c r="Z213" s="3" t="str">
        <f t="shared" si="15"/>
        <v>Debt &amp; Assets</v>
      </c>
    </row>
    <row r="214" spans="1:26" ht="17.399999999999999" x14ac:dyDescent="0.35">
      <c r="A214" s="3" t="s">
        <v>465</v>
      </c>
      <c r="B214" s="3" t="s">
        <v>466</v>
      </c>
      <c r="C214" s="4">
        <v>45389</v>
      </c>
      <c r="D214" s="3" t="s">
        <v>77</v>
      </c>
      <c r="E214" s="3">
        <v>10400</v>
      </c>
      <c r="F214" s="3">
        <v>12</v>
      </c>
      <c r="G214" s="3">
        <v>9.5399999999999991</v>
      </c>
      <c r="H214" s="3">
        <v>912.1</v>
      </c>
      <c r="I214" s="3">
        <v>33.700000000000003</v>
      </c>
      <c r="J214" s="3" t="s">
        <v>48</v>
      </c>
      <c r="K214" s="3">
        <v>0</v>
      </c>
      <c r="L214" s="3">
        <v>0</v>
      </c>
      <c r="M214" s="3">
        <v>29</v>
      </c>
      <c r="N214" s="3" t="s">
        <v>123</v>
      </c>
      <c r="O214" s="3" t="s">
        <v>79</v>
      </c>
      <c r="P214" s="3" t="s">
        <v>37</v>
      </c>
      <c r="Q214" s="3">
        <v>4</v>
      </c>
      <c r="R214" s="3">
        <v>50017</v>
      </c>
      <c r="S214" s="3">
        <v>843</v>
      </c>
      <c r="T214" s="3" t="s">
        <v>29</v>
      </c>
      <c r="U214" s="3">
        <v>0</v>
      </c>
      <c r="V214" s="3">
        <v>491</v>
      </c>
      <c r="W214" s="5" t="str">
        <f t="shared" si="12"/>
        <v>750+</v>
      </c>
      <c r="X214" s="5" t="str">
        <f t="shared" si="13"/>
        <v>Low (&lt;=35%)</v>
      </c>
      <c r="Y214" s="5" t="str">
        <f t="shared" si="14"/>
        <v>Employed</v>
      </c>
      <c r="Z214" s="3" t="str">
        <f t="shared" si="15"/>
        <v>Consumer &amp; Personal</v>
      </c>
    </row>
    <row r="215" spans="1:26" ht="17.399999999999999" x14ac:dyDescent="0.35">
      <c r="A215" s="3" t="s">
        <v>467</v>
      </c>
      <c r="B215" s="3" t="s">
        <v>468</v>
      </c>
      <c r="C215" s="4">
        <v>45599</v>
      </c>
      <c r="D215" s="3" t="s">
        <v>31</v>
      </c>
      <c r="E215" s="3">
        <v>30700</v>
      </c>
      <c r="F215" s="3">
        <v>36</v>
      </c>
      <c r="G215" s="3">
        <v>12.87</v>
      </c>
      <c r="H215" s="3">
        <v>1032.48</v>
      </c>
      <c r="I215" s="3">
        <v>56.3</v>
      </c>
      <c r="J215" s="3" t="s">
        <v>32</v>
      </c>
      <c r="K215" s="3">
        <v>168</v>
      </c>
      <c r="L215" s="3">
        <v>1</v>
      </c>
      <c r="M215" s="3">
        <v>26</v>
      </c>
      <c r="N215" s="3" t="s">
        <v>340</v>
      </c>
      <c r="O215" s="3" t="s">
        <v>43</v>
      </c>
      <c r="P215" s="3" t="s">
        <v>44</v>
      </c>
      <c r="Q215" s="3">
        <v>6</v>
      </c>
      <c r="R215" s="3">
        <v>68998</v>
      </c>
      <c r="S215" s="3">
        <v>579</v>
      </c>
      <c r="T215" s="3" t="s">
        <v>29</v>
      </c>
      <c r="U215" s="3">
        <v>4</v>
      </c>
      <c r="V215" s="3">
        <v>2207</v>
      </c>
      <c r="W215" s="5" t="str">
        <f t="shared" si="12"/>
        <v>520-599</v>
      </c>
      <c r="X215" s="5" t="str">
        <f t="shared" si="13"/>
        <v>High (51-75%)</v>
      </c>
      <c r="Y215" s="5" t="str">
        <f t="shared" si="14"/>
        <v>Employed</v>
      </c>
      <c r="Z215" s="3" t="str">
        <f t="shared" si="15"/>
        <v>Debt &amp; Assets</v>
      </c>
    </row>
    <row r="216" spans="1:26" ht="17.399999999999999" x14ac:dyDescent="0.35">
      <c r="A216" s="3" t="s">
        <v>469</v>
      </c>
      <c r="B216" s="3" t="s">
        <v>470</v>
      </c>
      <c r="C216" s="4">
        <v>45476</v>
      </c>
      <c r="D216" s="3" t="s">
        <v>31</v>
      </c>
      <c r="E216" s="3">
        <v>27100</v>
      </c>
      <c r="F216" s="3">
        <v>48</v>
      </c>
      <c r="G216" s="3">
        <v>13.19</v>
      </c>
      <c r="H216" s="3">
        <v>729.58</v>
      </c>
      <c r="I216" s="3">
        <v>70.5</v>
      </c>
      <c r="J216" s="3" t="s">
        <v>48</v>
      </c>
      <c r="K216" s="3">
        <v>0</v>
      </c>
      <c r="L216" s="3">
        <v>0</v>
      </c>
      <c r="M216" s="3">
        <v>67</v>
      </c>
      <c r="N216" s="3" t="s">
        <v>93</v>
      </c>
      <c r="O216" s="3" t="s">
        <v>27</v>
      </c>
      <c r="P216" s="3" t="s">
        <v>37</v>
      </c>
      <c r="Q216" s="3">
        <v>11</v>
      </c>
      <c r="R216" s="3">
        <v>53774</v>
      </c>
      <c r="S216" s="3">
        <v>610</v>
      </c>
      <c r="T216" s="3" t="s">
        <v>29</v>
      </c>
      <c r="U216" s="3">
        <v>0</v>
      </c>
      <c r="V216" s="3">
        <v>2431</v>
      </c>
      <c r="W216" s="5" t="str">
        <f t="shared" si="12"/>
        <v>600-649</v>
      </c>
      <c r="X216" s="5" t="str">
        <f t="shared" si="13"/>
        <v>High (51-75%)</v>
      </c>
      <c r="Y216" s="5" t="str">
        <f t="shared" si="14"/>
        <v>Employed</v>
      </c>
      <c r="Z216" s="3" t="str">
        <f t="shared" si="15"/>
        <v>Debt &amp; Assets</v>
      </c>
    </row>
    <row r="217" spans="1:26" ht="17.399999999999999" x14ac:dyDescent="0.35">
      <c r="A217" s="3" t="s">
        <v>471</v>
      </c>
      <c r="B217" s="3" t="s">
        <v>472</v>
      </c>
      <c r="C217" s="4">
        <v>45837</v>
      </c>
      <c r="D217" s="3" t="s">
        <v>24</v>
      </c>
      <c r="E217" s="3">
        <v>24700</v>
      </c>
      <c r="F217" s="3">
        <v>48</v>
      </c>
      <c r="G217" s="3">
        <v>7.62</v>
      </c>
      <c r="H217" s="3">
        <v>598.6</v>
      </c>
      <c r="I217" s="3">
        <v>64.8</v>
      </c>
      <c r="J217" s="3" t="s">
        <v>99</v>
      </c>
      <c r="K217" s="3">
        <v>15</v>
      </c>
      <c r="L217" s="3">
        <v>0</v>
      </c>
      <c r="M217" s="3">
        <v>30</v>
      </c>
      <c r="N217" s="3" t="s">
        <v>119</v>
      </c>
      <c r="O217" s="3" t="s">
        <v>79</v>
      </c>
      <c r="P217" s="3" t="s">
        <v>37</v>
      </c>
      <c r="Q217" s="3">
        <v>5</v>
      </c>
      <c r="R217" s="3">
        <v>46073</v>
      </c>
      <c r="S217" s="3">
        <v>823</v>
      </c>
      <c r="T217" s="3" t="s">
        <v>45</v>
      </c>
      <c r="U217" s="3">
        <v>0</v>
      </c>
      <c r="V217" s="3">
        <v>1889</v>
      </c>
      <c r="W217" s="5" t="str">
        <f t="shared" si="12"/>
        <v>750+</v>
      </c>
      <c r="X217" s="5" t="str">
        <f t="shared" si="13"/>
        <v>High (51-75%)</v>
      </c>
      <c r="Y217" s="5" t="str">
        <f t="shared" si="14"/>
        <v>Employed</v>
      </c>
      <c r="Z217" s="3" t="str">
        <f t="shared" si="15"/>
        <v>Consumer &amp; Personal</v>
      </c>
    </row>
    <row r="218" spans="1:26" ht="17.399999999999999" x14ac:dyDescent="0.35">
      <c r="A218" s="3" t="s">
        <v>473</v>
      </c>
      <c r="B218" s="3" t="s">
        <v>474</v>
      </c>
      <c r="C218" s="4">
        <v>45599</v>
      </c>
      <c r="D218" s="3" t="s">
        <v>67</v>
      </c>
      <c r="E218" s="3">
        <v>14000</v>
      </c>
      <c r="F218" s="3">
        <v>24</v>
      </c>
      <c r="G218" s="3">
        <v>7.97</v>
      </c>
      <c r="H218" s="3">
        <v>632.99</v>
      </c>
      <c r="I218" s="3">
        <v>31.5</v>
      </c>
      <c r="J218" s="3" t="s">
        <v>25</v>
      </c>
      <c r="K218" s="3">
        <v>0</v>
      </c>
      <c r="L218" s="3">
        <v>0</v>
      </c>
      <c r="M218" s="3">
        <v>26</v>
      </c>
      <c r="N218" s="3" t="s">
        <v>57</v>
      </c>
      <c r="O218" s="3" t="s">
        <v>79</v>
      </c>
      <c r="P218" s="3" t="s">
        <v>85</v>
      </c>
      <c r="Q218" s="3">
        <v>3</v>
      </c>
      <c r="R218" s="3">
        <v>37566</v>
      </c>
      <c r="S218" s="3">
        <v>794</v>
      </c>
      <c r="T218" s="3" t="s">
        <v>29</v>
      </c>
      <c r="U218" s="3">
        <v>2</v>
      </c>
      <c r="V218" s="3">
        <v>352</v>
      </c>
      <c r="W218" s="5" t="str">
        <f t="shared" si="12"/>
        <v>750+</v>
      </c>
      <c r="X218" s="5" t="str">
        <f t="shared" si="13"/>
        <v>Low (&lt;=35%)</v>
      </c>
      <c r="Y218" s="5" t="str">
        <f t="shared" si="14"/>
        <v>Retired</v>
      </c>
      <c r="Z218" s="3" t="str">
        <f t="shared" si="15"/>
        <v>Debt &amp; Assets</v>
      </c>
    </row>
    <row r="219" spans="1:26" ht="17.399999999999999" x14ac:dyDescent="0.35">
      <c r="A219" s="3" t="s">
        <v>475</v>
      </c>
      <c r="B219" s="3" t="s">
        <v>474</v>
      </c>
      <c r="C219" s="4">
        <v>45456</v>
      </c>
      <c r="D219" s="3" t="s">
        <v>61</v>
      </c>
      <c r="E219" s="3">
        <v>34000</v>
      </c>
      <c r="F219" s="3">
        <v>36</v>
      </c>
      <c r="G219" s="3">
        <v>10.89</v>
      </c>
      <c r="H219" s="3">
        <v>1111.3499999999999</v>
      </c>
      <c r="I219" s="3">
        <v>46.7</v>
      </c>
      <c r="J219" s="3" t="s">
        <v>48</v>
      </c>
      <c r="K219" s="3">
        <v>0</v>
      </c>
      <c r="L219" s="3">
        <v>0</v>
      </c>
      <c r="M219" s="3">
        <v>26</v>
      </c>
      <c r="N219" s="3" t="s">
        <v>57</v>
      </c>
      <c r="O219" s="3" t="s">
        <v>79</v>
      </c>
      <c r="P219" s="3" t="s">
        <v>85</v>
      </c>
      <c r="Q219" s="3">
        <v>3</v>
      </c>
      <c r="R219" s="3">
        <v>37566</v>
      </c>
      <c r="S219" s="3">
        <v>794</v>
      </c>
      <c r="T219" s="3" t="s">
        <v>29</v>
      </c>
      <c r="U219" s="3">
        <v>2</v>
      </c>
      <c r="V219" s="3">
        <v>352</v>
      </c>
      <c r="W219" s="5" t="str">
        <f t="shared" si="12"/>
        <v>750+</v>
      </c>
      <c r="X219" s="5" t="str">
        <f t="shared" si="13"/>
        <v>Manageable (36-50%)</v>
      </c>
      <c r="Y219" s="5" t="str">
        <f t="shared" si="14"/>
        <v>Retired</v>
      </c>
      <c r="Z219" s="3" t="str">
        <f t="shared" si="15"/>
        <v>Investment &amp; Growth</v>
      </c>
    </row>
    <row r="220" spans="1:26" ht="17.399999999999999" x14ac:dyDescent="0.35">
      <c r="A220" s="3" t="s">
        <v>476</v>
      </c>
      <c r="B220" s="3" t="s">
        <v>477</v>
      </c>
      <c r="C220" s="4">
        <v>45738</v>
      </c>
      <c r="D220" s="3" t="s">
        <v>64</v>
      </c>
      <c r="E220" s="3">
        <v>22700</v>
      </c>
      <c r="F220" s="3">
        <v>36</v>
      </c>
      <c r="G220" s="3">
        <v>10.39</v>
      </c>
      <c r="H220" s="3">
        <v>736.63</v>
      </c>
      <c r="I220" s="3">
        <v>44.9</v>
      </c>
      <c r="J220" s="3" t="s">
        <v>99</v>
      </c>
      <c r="K220" s="3">
        <v>15</v>
      </c>
      <c r="L220" s="3">
        <v>0</v>
      </c>
      <c r="M220" s="3">
        <v>42</v>
      </c>
      <c r="N220" s="3" t="s">
        <v>179</v>
      </c>
      <c r="O220" s="3" t="s">
        <v>43</v>
      </c>
      <c r="P220" s="3" t="s">
        <v>37</v>
      </c>
      <c r="Q220" s="3">
        <v>4</v>
      </c>
      <c r="R220" s="3">
        <v>83990</v>
      </c>
      <c r="S220" s="3">
        <v>716</v>
      </c>
      <c r="T220" s="3" t="s">
        <v>29</v>
      </c>
      <c r="U220" s="3">
        <v>2</v>
      </c>
      <c r="V220" s="3">
        <v>2406</v>
      </c>
      <c r="W220" s="5" t="str">
        <f t="shared" si="12"/>
        <v>700-749</v>
      </c>
      <c r="X220" s="5" t="str">
        <f t="shared" si="13"/>
        <v>Manageable (36-50%)</v>
      </c>
      <c r="Y220" s="5" t="str">
        <f t="shared" si="14"/>
        <v>Employed</v>
      </c>
      <c r="Z220" s="3" t="str">
        <f t="shared" si="15"/>
        <v>Investment &amp; Growth</v>
      </c>
    </row>
    <row r="221" spans="1:26" ht="17.399999999999999" x14ac:dyDescent="0.35">
      <c r="A221" s="3" t="s">
        <v>478</v>
      </c>
      <c r="B221" s="3" t="s">
        <v>479</v>
      </c>
      <c r="C221" s="4">
        <v>45335</v>
      </c>
      <c r="D221" s="3" t="s">
        <v>67</v>
      </c>
      <c r="E221" s="3">
        <v>22000</v>
      </c>
      <c r="F221" s="3">
        <v>60</v>
      </c>
      <c r="G221" s="3">
        <v>11</v>
      </c>
      <c r="H221" s="3">
        <v>478.33</v>
      </c>
      <c r="I221" s="3">
        <v>64.7</v>
      </c>
      <c r="J221" s="3" t="s">
        <v>48</v>
      </c>
      <c r="K221" s="3">
        <v>0</v>
      </c>
      <c r="L221" s="3">
        <v>0</v>
      </c>
      <c r="M221" s="3">
        <v>30</v>
      </c>
      <c r="N221" s="3" t="s">
        <v>213</v>
      </c>
      <c r="O221" s="3" t="s">
        <v>43</v>
      </c>
      <c r="P221" s="3" t="s">
        <v>44</v>
      </c>
      <c r="Q221" s="3">
        <v>8</v>
      </c>
      <c r="R221" s="3">
        <v>44135</v>
      </c>
      <c r="S221" s="3">
        <v>593</v>
      </c>
      <c r="T221" s="3" t="s">
        <v>38</v>
      </c>
      <c r="U221" s="3">
        <v>0</v>
      </c>
      <c r="V221" s="3">
        <v>1902</v>
      </c>
      <c r="W221" s="5" t="str">
        <f t="shared" si="12"/>
        <v>520-599</v>
      </c>
      <c r="X221" s="5" t="str">
        <f t="shared" si="13"/>
        <v>High (51-75%)</v>
      </c>
      <c r="Y221" s="5" t="str">
        <f t="shared" si="14"/>
        <v>Employed</v>
      </c>
      <c r="Z221" s="3" t="str">
        <f t="shared" si="15"/>
        <v>Debt &amp; Assets</v>
      </c>
    </row>
    <row r="222" spans="1:26" ht="17.399999999999999" x14ac:dyDescent="0.35">
      <c r="A222" s="3" t="s">
        <v>480</v>
      </c>
      <c r="B222" s="3" t="s">
        <v>481</v>
      </c>
      <c r="C222" s="4">
        <v>45708</v>
      </c>
      <c r="D222" s="3" t="s">
        <v>61</v>
      </c>
      <c r="E222" s="3">
        <v>10000</v>
      </c>
      <c r="F222" s="3">
        <v>12</v>
      </c>
      <c r="G222" s="3">
        <v>15</v>
      </c>
      <c r="H222" s="3">
        <v>902.58</v>
      </c>
      <c r="I222" s="3">
        <v>61.8</v>
      </c>
      <c r="J222" s="3" t="s">
        <v>25</v>
      </c>
      <c r="K222" s="3">
        <v>0</v>
      </c>
      <c r="L222" s="3">
        <v>0</v>
      </c>
      <c r="M222" s="3">
        <v>36</v>
      </c>
      <c r="N222" s="3" t="s">
        <v>119</v>
      </c>
      <c r="O222" s="3" t="s">
        <v>79</v>
      </c>
      <c r="P222" s="3" t="s">
        <v>85</v>
      </c>
      <c r="Q222" s="3">
        <v>8</v>
      </c>
      <c r="R222" s="3">
        <v>42447</v>
      </c>
      <c r="S222" s="3">
        <v>570</v>
      </c>
      <c r="T222" s="3" t="s">
        <v>38</v>
      </c>
      <c r="U222" s="3">
        <v>0</v>
      </c>
      <c r="V222" s="3">
        <v>1282</v>
      </c>
      <c r="W222" s="5" t="str">
        <f t="shared" si="12"/>
        <v>520-599</v>
      </c>
      <c r="X222" s="5" t="str">
        <f t="shared" si="13"/>
        <v>High (51-75%)</v>
      </c>
      <c r="Y222" s="5" t="str">
        <f t="shared" si="14"/>
        <v>Retired</v>
      </c>
      <c r="Z222" s="3" t="str">
        <f t="shared" si="15"/>
        <v>Investment &amp; Growth</v>
      </c>
    </row>
    <row r="223" spans="1:26" ht="17.399999999999999" x14ac:dyDescent="0.35">
      <c r="A223" s="3" t="s">
        <v>482</v>
      </c>
      <c r="B223" s="3" t="s">
        <v>481</v>
      </c>
      <c r="C223" s="4">
        <v>45804</v>
      </c>
      <c r="D223" s="3" t="s">
        <v>31</v>
      </c>
      <c r="E223" s="3">
        <v>36800</v>
      </c>
      <c r="F223" s="3">
        <v>24</v>
      </c>
      <c r="G223" s="3">
        <v>11.68</v>
      </c>
      <c r="H223" s="3">
        <v>1726.81</v>
      </c>
      <c r="I223" s="3">
        <v>85.1</v>
      </c>
      <c r="J223" s="3" t="s">
        <v>25</v>
      </c>
      <c r="K223" s="3">
        <v>0</v>
      </c>
      <c r="L223" s="3">
        <v>0</v>
      </c>
      <c r="M223" s="3">
        <v>36</v>
      </c>
      <c r="N223" s="3" t="s">
        <v>119</v>
      </c>
      <c r="O223" s="3" t="s">
        <v>79</v>
      </c>
      <c r="P223" s="3" t="s">
        <v>85</v>
      </c>
      <c r="Q223" s="3">
        <v>8</v>
      </c>
      <c r="R223" s="3">
        <v>42447</v>
      </c>
      <c r="S223" s="3">
        <v>570</v>
      </c>
      <c r="T223" s="3" t="s">
        <v>38</v>
      </c>
      <c r="U223" s="3">
        <v>0</v>
      </c>
      <c r="V223" s="3">
        <v>1282</v>
      </c>
      <c r="W223" s="5" t="str">
        <f t="shared" si="12"/>
        <v>520-599</v>
      </c>
      <c r="X223" s="5" t="str">
        <f t="shared" si="13"/>
        <v>Critical (&gt;75%)</v>
      </c>
      <c r="Y223" s="5" t="str">
        <f t="shared" si="14"/>
        <v>Retired</v>
      </c>
      <c r="Z223" s="3" t="str">
        <f t="shared" si="15"/>
        <v>Debt &amp; Assets</v>
      </c>
    </row>
    <row r="224" spans="1:26" ht="17.399999999999999" x14ac:dyDescent="0.35">
      <c r="A224" s="3" t="s">
        <v>483</v>
      </c>
      <c r="B224" s="3" t="s">
        <v>484</v>
      </c>
      <c r="C224" s="4">
        <v>45612</v>
      </c>
      <c r="D224" s="3" t="s">
        <v>35</v>
      </c>
      <c r="E224" s="3">
        <v>27600</v>
      </c>
      <c r="F224" s="3">
        <v>24</v>
      </c>
      <c r="G224" s="3">
        <v>9.2200000000000006</v>
      </c>
      <c r="H224" s="3">
        <v>1263.69</v>
      </c>
      <c r="I224" s="3">
        <v>64.8</v>
      </c>
      <c r="J224" s="3" t="s">
        <v>48</v>
      </c>
      <c r="K224" s="3">
        <v>0</v>
      </c>
      <c r="L224" s="3">
        <v>0</v>
      </c>
      <c r="M224" s="3">
        <v>61</v>
      </c>
      <c r="N224" s="3" t="s">
        <v>262</v>
      </c>
      <c r="O224" s="3" t="s">
        <v>43</v>
      </c>
      <c r="P224" s="3" t="s">
        <v>37</v>
      </c>
      <c r="Q224" s="3">
        <v>9</v>
      </c>
      <c r="R224" s="3">
        <v>51358</v>
      </c>
      <c r="S224" s="3">
        <v>827</v>
      </c>
      <c r="T224" s="3" t="s">
        <v>38</v>
      </c>
      <c r="U224" s="3">
        <v>2</v>
      </c>
      <c r="V224" s="3">
        <v>1508</v>
      </c>
      <c r="W224" s="5" t="str">
        <f t="shared" si="12"/>
        <v>750+</v>
      </c>
      <c r="X224" s="5" t="str">
        <f t="shared" si="13"/>
        <v>High (51-75%)</v>
      </c>
      <c r="Y224" s="5" t="str">
        <f t="shared" si="14"/>
        <v>Employed</v>
      </c>
      <c r="Z224" s="3" t="str">
        <f t="shared" si="15"/>
        <v>Consumer &amp; Personal</v>
      </c>
    </row>
    <row r="225" spans="1:26" ht="17.399999999999999" x14ac:dyDescent="0.35">
      <c r="A225" s="3" t="s">
        <v>485</v>
      </c>
      <c r="B225" s="3" t="s">
        <v>484</v>
      </c>
      <c r="C225" s="4">
        <v>45573</v>
      </c>
      <c r="D225" s="3" t="s">
        <v>64</v>
      </c>
      <c r="E225" s="3">
        <v>12500</v>
      </c>
      <c r="F225" s="3">
        <v>12</v>
      </c>
      <c r="G225" s="3">
        <v>7.09</v>
      </c>
      <c r="H225" s="3">
        <v>1082.0999999999999</v>
      </c>
      <c r="I225" s="3">
        <v>60.5</v>
      </c>
      <c r="J225" s="3" t="s">
        <v>48</v>
      </c>
      <c r="K225" s="3">
        <v>0</v>
      </c>
      <c r="L225" s="3">
        <v>0</v>
      </c>
      <c r="M225" s="3">
        <v>61</v>
      </c>
      <c r="N225" s="3" t="s">
        <v>262</v>
      </c>
      <c r="O225" s="3" t="s">
        <v>43</v>
      </c>
      <c r="P225" s="3" t="s">
        <v>37</v>
      </c>
      <c r="Q225" s="3">
        <v>9</v>
      </c>
      <c r="R225" s="3">
        <v>51358</v>
      </c>
      <c r="S225" s="3">
        <v>827</v>
      </c>
      <c r="T225" s="3" t="s">
        <v>38</v>
      </c>
      <c r="U225" s="3">
        <v>2</v>
      </c>
      <c r="V225" s="3">
        <v>1508</v>
      </c>
      <c r="W225" s="5" t="str">
        <f t="shared" si="12"/>
        <v>750+</v>
      </c>
      <c r="X225" s="5" t="str">
        <f t="shared" si="13"/>
        <v>High (51-75%)</v>
      </c>
      <c r="Y225" s="5" t="str">
        <f t="shared" si="14"/>
        <v>Employed</v>
      </c>
      <c r="Z225" s="3" t="str">
        <f t="shared" si="15"/>
        <v>Investment &amp; Growth</v>
      </c>
    </row>
    <row r="226" spans="1:26" ht="17.399999999999999" x14ac:dyDescent="0.35">
      <c r="A226" s="3" t="s">
        <v>486</v>
      </c>
      <c r="B226" s="3" t="s">
        <v>487</v>
      </c>
      <c r="C226" s="4">
        <v>45544</v>
      </c>
      <c r="D226" s="3" t="s">
        <v>52</v>
      </c>
      <c r="E226" s="3">
        <v>5000</v>
      </c>
      <c r="F226" s="3">
        <v>60</v>
      </c>
      <c r="G226" s="3">
        <v>7.95</v>
      </c>
      <c r="H226" s="3">
        <v>101.26</v>
      </c>
      <c r="I226" s="3">
        <v>40.700000000000003</v>
      </c>
      <c r="J226" s="3" t="s">
        <v>99</v>
      </c>
      <c r="K226" s="3">
        <v>15</v>
      </c>
      <c r="L226" s="3">
        <v>0</v>
      </c>
      <c r="M226" s="3">
        <v>58</v>
      </c>
      <c r="N226" s="3" t="s">
        <v>179</v>
      </c>
      <c r="O226" s="3" t="s">
        <v>27</v>
      </c>
      <c r="P226" s="3" t="s">
        <v>44</v>
      </c>
      <c r="Q226" s="3">
        <v>16</v>
      </c>
      <c r="R226" s="3">
        <v>25259</v>
      </c>
      <c r="S226" s="3">
        <v>850</v>
      </c>
      <c r="T226" s="3" t="s">
        <v>29</v>
      </c>
      <c r="U226" s="3">
        <v>2</v>
      </c>
      <c r="V226" s="3">
        <v>755</v>
      </c>
      <c r="W226" s="5" t="str">
        <f t="shared" si="12"/>
        <v>750+</v>
      </c>
      <c r="X226" s="5" t="str">
        <f t="shared" si="13"/>
        <v>Manageable (36-50%)</v>
      </c>
      <c r="Y226" s="5" t="str">
        <f t="shared" si="14"/>
        <v>Employed</v>
      </c>
      <c r="Z226" s="3" t="str">
        <f t="shared" si="15"/>
        <v>Investment &amp; Growth</v>
      </c>
    </row>
    <row r="227" spans="1:26" ht="17.399999999999999" x14ac:dyDescent="0.35">
      <c r="A227" s="3" t="s">
        <v>488</v>
      </c>
      <c r="B227" s="3" t="s">
        <v>489</v>
      </c>
      <c r="C227" s="4">
        <v>45347</v>
      </c>
      <c r="D227" s="3" t="s">
        <v>52</v>
      </c>
      <c r="E227" s="3">
        <v>2800</v>
      </c>
      <c r="F227" s="3">
        <v>60</v>
      </c>
      <c r="G227" s="3">
        <v>8.86</v>
      </c>
      <c r="H227" s="3">
        <v>57.93</v>
      </c>
      <c r="I227" s="3">
        <v>22</v>
      </c>
      <c r="J227" s="3" t="s">
        <v>48</v>
      </c>
      <c r="K227" s="3">
        <v>0</v>
      </c>
      <c r="L227" s="3">
        <v>0</v>
      </c>
      <c r="M227" s="3">
        <v>23</v>
      </c>
      <c r="N227" s="3" t="s">
        <v>68</v>
      </c>
      <c r="O227" s="3" t="s">
        <v>43</v>
      </c>
      <c r="P227" s="3" t="s">
        <v>73</v>
      </c>
      <c r="Q227" s="3">
        <v>3</v>
      </c>
      <c r="R227" s="3">
        <v>32494</v>
      </c>
      <c r="S227" s="3">
        <v>679</v>
      </c>
      <c r="T227" s="3" t="s">
        <v>38</v>
      </c>
      <c r="U227" s="3">
        <v>2</v>
      </c>
      <c r="V227" s="3">
        <v>538</v>
      </c>
      <c r="W227" s="5" t="str">
        <f t="shared" si="12"/>
        <v>650-699</v>
      </c>
      <c r="X227" s="5" t="str">
        <f t="shared" si="13"/>
        <v>Low (&lt;=35%)</v>
      </c>
      <c r="Y227" s="5" t="str">
        <f t="shared" si="14"/>
        <v>Employed</v>
      </c>
      <c r="Z227" s="3" t="str">
        <f t="shared" si="15"/>
        <v>Investment &amp; Growth</v>
      </c>
    </row>
    <row r="228" spans="1:26" ht="17.399999999999999" x14ac:dyDescent="0.35">
      <c r="A228" s="3" t="s">
        <v>490</v>
      </c>
      <c r="B228" s="3" t="s">
        <v>491</v>
      </c>
      <c r="C228" s="4">
        <v>45534</v>
      </c>
      <c r="D228" s="3" t="s">
        <v>41</v>
      </c>
      <c r="E228" s="3">
        <v>35600</v>
      </c>
      <c r="F228" s="3">
        <v>12</v>
      </c>
      <c r="G228" s="3">
        <v>9.81</v>
      </c>
      <c r="H228" s="3">
        <v>3126.66</v>
      </c>
      <c r="I228" s="3">
        <v>96.8</v>
      </c>
      <c r="J228" s="3" t="s">
        <v>25</v>
      </c>
      <c r="K228" s="3">
        <v>0</v>
      </c>
      <c r="L228" s="3">
        <v>0</v>
      </c>
      <c r="M228" s="3">
        <v>26</v>
      </c>
      <c r="N228" s="3" t="s">
        <v>203</v>
      </c>
      <c r="O228" s="3" t="s">
        <v>43</v>
      </c>
      <c r="P228" s="3" t="s">
        <v>37</v>
      </c>
      <c r="Q228" s="3">
        <v>1</v>
      </c>
      <c r="R228" s="3">
        <v>67116</v>
      </c>
      <c r="S228" s="3">
        <v>772</v>
      </c>
      <c r="T228" s="3" t="s">
        <v>45</v>
      </c>
      <c r="U228" s="3">
        <v>1</v>
      </c>
      <c r="V228" s="3">
        <v>2288</v>
      </c>
      <c r="W228" s="5" t="str">
        <f t="shared" si="12"/>
        <v>750+</v>
      </c>
      <c r="X228" s="5" t="str">
        <f t="shared" si="13"/>
        <v>Critical (&gt;75%)</v>
      </c>
      <c r="Y228" s="5" t="str">
        <f t="shared" si="14"/>
        <v>Employed</v>
      </c>
      <c r="Z228" s="3" t="str">
        <f t="shared" si="15"/>
        <v>Debt &amp; Assets</v>
      </c>
    </row>
    <row r="229" spans="1:26" ht="17.399999999999999" x14ac:dyDescent="0.35">
      <c r="A229" s="3" t="s">
        <v>492</v>
      </c>
      <c r="B229" s="3" t="s">
        <v>493</v>
      </c>
      <c r="C229" s="4">
        <v>45456</v>
      </c>
      <c r="D229" s="3" t="s">
        <v>41</v>
      </c>
      <c r="E229" s="3">
        <v>46900</v>
      </c>
      <c r="F229" s="3">
        <v>24</v>
      </c>
      <c r="G229" s="3">
        <v>9.25</v>
      </c>
      <c r="H229" s="3">
        <v>2148</v>
      </c>
      <c r="I229" s="3">
        <v>34.9</v>
      </c>
      <c r="J229" s="3" t="s">
        <v>25</v>
      </c>
      <c r="K229" s="3">
        <v>0</v>
      </c>
      <c r="L229" s="3">
        <v>0</v>
      </c>
      <c r="M229" s="3">
        <v>68</v>
      </c>
      <c r="N229" s="3" t="s">
        <v>128</v>
      </c>
      <c r="O229" s="3" t="s">
        <v>58</v>
      </c>
      <c r="P229" s="3" t="s">
        <v>37</v>
      </c>
      <c r="Q229" s="3">
        <v>32</v>
      </c>
      <c r="R229" s="3">
        <v>108165</v>
      </c>
      <c r="S229" s="3">
        <v>734</v>
      </c>
      <c r="T229" s="3" t="s">
        <v>45</v>
      </c>
      <c r="U229" s="3">
        <v>0</v>
      </c>
      <c r="V229" s="3">
        <v>1002</v>
      </c>
      <c r="W229" s="5" t="str">
        <f t="shared" si="12"/>
        <v>700-749</v>
      </c>
      <c r="X229" s="5" t="str">
        <f t="shared" si="13"/>
        <v>Low (&lt;=35%)</v>
      </c>
      <c r="Y229" s="5" t="str">
        <f t="shared" si="14"/>
        <v>Employed</v>
      </c>
      <c r="Z229" s="3" t="str">
        <f t="shared" si="15"/>
        <v>Debt &amp; Assets</v>
      </c>
    </row>
    <row r="230" spans="1:26" ht="17.399999999999999" x14ac:dyDescent="0.35">
      <c r="A230" s="3" t="s">
        <v>494</v>
      </c>
      <c r="B230" s="3" t="s">
        <v>495</v>
      </c>
      <c r="C230" s="4">
        <v>45795</v>
      </c>
      <c r="D230" s="3" t="s">
        <v>31</v>
      </c>
      <c r="E230" s="3">
        <v>15200</v>
      </c>
      <c r="F230" s="3">
        <v>12</v>
      </c>
      <c r="G230" s="3">
        <v>12.02</v>
      </c>
      <c r="H230" s="3">
        <v>1350.64</v>
      </c>
      <c r="I230" s="3">
        <v>88</v>
      </c>
      <c r="J230" s="3" t="s">
        <v>25</v>
      </c>
      <c r="K230" s="3">
        <v>0</v>
      </c>
      <c r="L230" s="3">
        <v>0</v>
      </c>
      <c r="M230" s="3">
        <v>50</v>
      </c>
      <c r="N230" s="3" t="s">
        <v>62</v>
      </c>
      <c r="O230" s="3" t="s">
        <v>79</v>
      </c>
      <c r="P230" s="3" t="s">
        <v>37</v>
      </c>
      <c r="Q230" s="3">
        <v>27</v>
      </c>
      <c r="R230" s="3">
        <v>42807</v>
      </c>
      <c r="S230" s="3">
        <v>726</v>
      </c>
      <c r="T230" s="3" t="s">
        <v>45</v>
      </c>
      <c r="U230" s="3">
        <v>4</v>
      </c>
      <c r="V230" s="3">
        <v>1787</v>
      </c>
      <c r="W230" s="5" t="str">
        <f t="shared" si="12"/>
        <v>700-749</v>
      </c>
      <c r="X230" s="5" t="str">
        <f t="shared" si="13"/>
        <v>Critical (&gt;75%)</v>
      </c>
      <c r="Y230" s="5" t="str">
        <f t="shared" si="14"/>
        <v>Employed</v>
      </c>
      <c r="Z230" s="3" t="str">
        <f t="shared" si="15"/>
        <v>Debt &amp; Assets</v>
      </c>
    </row>
    <row r="231" spans="1:26" ht="17.399999999999999" x14ac:dyDescent="0.35">
      <c r="A231" s="3" t="s">
        <v>496</v>
      </c>
      <c r="B231" s="3" t="s">
        <v>497</v>
      </c>
      <c r="C231" s="4">
        <v>45722</v>
      </c>
      <c r="D231" s="3" t="s">
        <v>61</v>
      </c>
      <c r="E231" s="3">
        <v>35500</v>
      </c>
      <c r="F231" s="3">
        <v>60</v>
      </c>
      <c r="G231" s="3">
        <v>10.07</v>
      </c>
      <c r="H231" s="3">
        <v>755.49</v>
      </c>
      <c r="I231" s="3">
        <v>33.200000000000003</v>
      </c>
      <c r="J231" s="3" t="s">
        <v>25</v>
      </c>
      <c r="K231" s="3">
        <v>0</v>
      </c>
      <c r="L231" s="3">
        <v>0</v>
      </c>
      <c r="M231" s="3">
        <v>42</v>
      </c>
      <c r="N231" s="3" t="s">
        <v>105</v>
      </c>
      <c r="O231" s="3" t="s">
        <v>72</v>
      </c>
      <c r="P231" s="3" t="s">
        <v>28</v>
      </c>
      <c r="Q231" s="3">
        <v>15</v>
      </c>
      <c r="R231" s="3">
        <v>70887</v>
      </c>
      <c r="S231" s="3">
        <v>616</v>
      </c>
      <c r="T231" s="3" t="s">
        <v>29</v>
      </c>
      <c r="U231" s="3">
        <v>1</v>
      </c>
      <c r="V231" s="3">
        <v>1206</v>
      </c>
      <c r="W231" s="5" t="str">
        <f t="shared" si="12"/>
        <v>600-649</v>
      </c>
      <c r="X231" s="5" t="str">
        <f t="shared" si="13"/>
        <v>Low (&lt;=35%)</v>
      </c>
      <c r="Y231" s="5" t="str">
        <f t="shared" si="14"/>
        <v>Self-Employed</v>
      </c>
      <c r="Z231" s="3" t="str">
        <f t="shared" si="15"/>
        <v>Investment &amp; Growth</v>
      </c>
    </row>
    <row r="232" spans="1:26" ht="17.399999999999999" x14ac:dyDescent="0.35">
      <c r="A232" s="3" t="s">
        <v>498</v>
      </c>
      <c r="B232" s="3" t="s">
        <v>499</v>
      </c>
      <c r="C232" s="4">
        <v>45431</v>
      </c>
      <c r="D232" s="3" t="s">
        <v>67</v>
      </c>
      <c r="E232" s="3">
        <v>30700</v>
      </c>
      <c r="F232" s="3">
        <v>24</v>
      </c>
      <c r="G232" s="3">
        <v>12.35</v>
      </c>
      <c r="H232" s="3">
        <v>1450.18</v>
      </c>
      <c r="I232" s="3">
        <v>74.900000000000006</v>
      </c>
      <c r="J232" s="3" t="s">
        <v>32</v>
      </c>
      <c r="K232" s="3">
        <v>81</v>
      </c>
      <c r="L232" s="3">
        <v>1</v>
      </c>
      <c r="M232" s="3">
        <v>23</v>
      </c>
      <c r="N232" s="3" t="s">
        <v>49</v>
      </c>
      <c r="O232" s="3" t="s">
        <v>27</v>
      </c>
      <c r="P232" s="3" t="s">
        <v>37</v>
      </c>
      <c r="Q232" s="3">
        <v>1</v>
      </c>
      <c r="R232" s="3">
        <v>38494</v>
      </c>
      <c r="S232" s="3">
        <v>648</v>
      </c>
      <c r="T232" s="3" t="s">
        <v>45</v>
      </c>
      <c r="U232" s="3">
        <v>0</v>
      </c>
      <c r="V232" s="3">
        <v>954</v>
      </c>
      <c r="W232" s="5" t="str">
        <f t="shared" si="12"/>
        <v>600-649</v>
      </c>
      <c r="X232" s="5" t="str">
        <f t="shared" si="13"/>
        <v>High (51-75%)</v>
      </c>
      <c r="Y232" s="5" t="str">
        <f t="shared" si="14"/>
        <v>Employed</v>
      </c>
      <c r="Z232" s="3" t="str">
        <f t="shared" si="15"/>
        <v>Debt &amp; Assets</v>
      </c>
    </row>
    <row r="233" spans="1:26" ht="17.399999999999999" x14ac:dyDescent="0.35">
      <c r="A233" s="3" t="s">
        <v>500</v>
      </c>
      <c r="B233" s="3" t="s">
        <v>501</v>
      </c>
      <c r="C233" s="4">
        <v>45425</v>
      </c>
      <c r="D233" s="3" t="s">
        <v>52</v>
      </c>
      <c r="E233" s="3">
        <v>6300</v>
      </c>
      <c r="F233" s="3">
        <v>24</v>
      </c>
      <c r="G233" s="3">
        <v>12.83</v>
      </c>
      <c r="H233" s="3">
        <v>299.01</v>
      </c>
      <c r="I233" s="3">
        <v>51.9</v>
      </c>
      <c r="J233" s="3" t="s">
        <v>25</v>
      </c>
      <c r="K233" s="3">
        <v>0</v>
      </c>
      <c r="L233" s="3">
        <v>0</v>
      </c>
      <c r="M233" s="3">
        <v>63</v>
      </c>
      <c r="N233" s="3" t="s">
        <v>42</v>
      </c>
      <c r="O233" s="3" t="s">
        <v>43</v>
      </c>
      <c r="P233" s="3" t="s">
        <v>37</v>
      </c>
      <c r="Q233" s="3">
        <v>27</v>
      </c>
      <c r="R233" s="3">
        <v>41121</v>
      </c>
      <c r="S233" s="3">
        <v>585</v>
      </c>
      <c r="T233" s="3" t="s">
        <v>38</v>
      </c>
      <c r="U233" s="3">
        <v>2</v>
      </c>
      <c r="V233" s="3">
        <v>1480</v>
      </c>
      <c r="W233" s="5" t="str">
        <f t="shared" si="12"/>
        <v>520-599</v>
      </c>
      <c r="X233" s="5" t="str">
        <f t="shared" si="13"/>
        <v>High (51-75%)</v>
      </c>
      <c r="Y233" s="5" t="str">
        <f t="shared" si="14"/>
        <v>Employed</v>
      </c>
      <c r="Z233" s="3" t="str">
        <f t="shared" si="15"/>
        <v>Investment &amp; Growth</v>
      </c>
    </row>
    <row r="234" spans="1:26" ht="17.399999999999999" x14ac:dyDescent="0.35">
      <c r="A234" s="3" t="s">
        <v>502</v>
      </c>
      <c r="B234" s="3" t="s">
        <v>503</v>
      </c>
      <c r="C234" s="4">
        <v>45627</v>
      </c>
      <c r="D234" s="3" t="s">
        <v>24</v>
      </c>
      <c r="E234" s="3">
        <v>8400</v>
      </c>
      <c r="F234" s="3">
        <v>24</v>
      </c>
      <c r="G234" s="3">
        <v>11.52</v>
      </c>
      <c r="H234" s="3">
        <v>393.54</v>
      </c>
      <c r="I234" s="3">
        <v>54.4</v>
      </c>
      <c r="J234" s="3" t="s">
        <v>48</v>
      </c>
      <c r="K234" s="3">
        <v>0</v>
      </c>
      <c r="L234" s="3">
        <v>0</v>
      </c>
      <c r="M234" s="3">
        <v>45</v>
      </c>
      <c r="N234" s="3" t="s">
        <v>78</v>
      </c>
      <c r="O234" s="3" t="s">
        <v>27</v>
      </c>
      <c r="P234" s="3" t="s">
        <v>37</v>
      </c>
      <c r="Q234" s="3">
        <v>17</v>
      </c>
      <c r="R234" s="3">
        <v>42175</v>
      </c>
      <c r="S234" s="3">
        <v>715</v>
      </c>
      <c r="T234" s="3" t="s">
        <v>45</v>
      </c>
      <c r="U234" s="3">
        <v>1</v>
      </c>
      <c r="V234" s="3">
        <v>1519</v>
      </c>
      <c r="W234" s="5" t="str">
        <f t="shared" si="12"/>
        <v>700-749</v>
      </c>
      <c r="X234" s="5" t="str">
        <f t="shared" si="13"/>
        <v>High (51-75%)</v>
      </c>
      <c r="Y234" s="5" t="str">
        <f t="shared" si="14"/>
        <v>Employed</v>
      </c>
      <c r="Z234" s="3" t="str">
        <f t="shared" si="15"/>
        <v>Consumer &amp; Personal</v>
      </c>
    </row>
    <row r="235" spans="1:26" ht="17.399999999999999" x14ac:dyDescent="0.35">
      <c r="A235" s="3" t="s">
        <v>504</v>
      </c>
      <c r="B235" s="3" t="s">
        <v>505</v>
      </c>
      <c r="C235" s="4">
        <v>45315</v>
      </c>
      <c r="D235" s="3" t="s">
        <v>31</v>
      </c>
      <c r="E235" s="3">
        <v>44400</v>
      </c>
      <c r="F235" s="3">
        <v>24</v>
      </c>
      <c r="G235" s="3">
        <v>10.19</v>
      </c>
      <c r="H235" s="3">
        <v>2052.73</v>
      </c>
      <c r="I235" s="3">
        <v>74.7</v>
      </c>
      <c r="J235" s="3" t="s">
        <v>99</v>
      </c>
      <c r="K235" s="3">
        <v>0</v>
      </c>
      <c r="L235" s="3">
        <v>0</v>
      </c>
      <c r="M235" s="3">
        <v>39</v>
      </c>
      <c r="N235" s="3" t="s">
        <v>68</v>
      </c>
      <c r="O235" s="3" t="s">
        <v>72</v>
      </c>
      <c r="P235" s="3" t="s">
        <v>73</v>
      </c>
      <c r="Q235" s="3">
        <v>3</v>
      </c>
      <c r="R235" s="3">
        <v>58864</v>
      </c>
      <c r="S235" s="3">
        <v>595</v>
      </c>
      <c r="T235" s="3" t="s">
        <v>45</v>
      </c>
      <c r="U235" s="3">
        <v>4</v>
      </c>
      <c r="V235" s="3">
        <v>1613</v>
      </c>
      <c r="W235" s="5" t="str">
        <f t="shared" si="12"/>
        <v>520-599</v>
      </c>
      <c r="X235" s="5" t="str">
        <f t="shared" si="13"/>
        <v>High (51-75%)</v>
      </c>
      <c r="Y235" s="5" t="str">
        <f t="shared" si="14"/>
        <v>Employed</v>
      </c>
      <c r="Z235" s="3" t="str">
        <f t="shared" si="15"/>
        <v>Debt &amp; Assets</v>
      </c>
    </row>
    <row r="236" spans="1:26" ht="17.399999999999999" x14ac:dyDescent="0.35">
      <c r="A236" s="3" t="s">
        <v>506</v>
      </c>
      <c r="B236" s="3" t="s">
        <v>507</v>
      </c>
      <c r="C236" s="4">
        <v>45731</v>
      </c>
      <c r="D236" s="3" t="s">
        <v>24</v>
      </c>
      <c r="E236" s="3">
        <v>35700</v>
      </c>
      <c r="F236" s="3">
        <v>24</v>
      </c>
      <c r="G236" s="3">
        <v>6.98</v>
      </c>
      <c r="H236" s="3">
        <v>1598.06</v>
      </c>
      <c r="I236" s="3">
        <v>64.7</v>
      </c>
      <c r="J236" s="3" t="s">
        <v>25</v>
      </c>
      <c r="K236" s="3">
        <v>0</v>
      </c>
      <c r="L236" s="3">
        <v>0</v>
      </c>
      <c r="M236" s="3">
        <v>45</v>
      </c>
      <c r="N236" s="3" t="s">
        <v>203</v>
      </c>
      <c r="O236" s="3" t="s">
        <v>72</v>
      </c>
      <c r="P236" s="3" t="s">
        <v>37</v>
      </c>
      <c r="Q236" s="3">
        <v>1</v>
      </c>
      <c r="R236" s="3">
        <v>98282</v>
      </c>
      <c r="S236" s="3">
        <v>796</v>
      </c>
      <c r="T236" s="3" t="s">
        <v>38</v>
      </c>
      <c r="U236" s="3">
        <v>2</v>
      </c>
      <c r="V236" s="3">
        <v>3701</v>
      </c>
      <c r="W236" s="5" t="str">
        <f t="shared" si="12"/>
        <v>750+</v>
      </c>
      <c r="X236" s="5" t="str">
        <f t="shared" si="13"/>
        <v>High (51-75%)</v>
      </c>
      <c r="Y236" s="5" t="str">
        <f t="shared" si="14"/>
        <v>Employed</v>
      </c>
      <c r="Z236" s="3" t="str">
        <f t="shared" si="15"/>
        <v>Consumer &amp; Personal</v>
      </c>
    </row>
    <row r="237" spans="1:26" ht="17.399999999999999" x14ac:dyDescent="0.35">
      <c r="A237" s="3" t="s">
        <v>508</v>
      </c>
      <c r="B237" s="3" t="s">
        <v>507</v>
      </c>
      <c r="C237" s="4">
        <v>45756</v>
      </c>
      <c r="D237" s="3" t="s">
        <v>56</v>
      </c>
      <c r="E237" s="3">
        <v>7600</v>
      </c>
      <c r="F237" s="3">
        <v>60</v>
      </c>
      <c r="G237" s="3">
        <v>8.91</v>
      </c>
      <c r="H237" s="3">
        <v>157.43</v>
      </c>
      <c r="I237" s="3">
        <v>47.1</v>
      </c>
      <c r="J237" s="3" t="s">
        <v>48</v>
      </c>
      <c r="K237" s="3">
        <v>0</v>
      </c>
      <c r="L237" s="3">
        <v>0</v>
      </c>
      <c r="M237" s="3">
        <v>45</v>
      </c>
      <c r="N237" s="3" t="s">
        <v>203</v>
      </c>
      <c r="O237" s="3" t="s">
        <v>72</v>
      </c>
      <c r="P237" s="3" t="s">
        <v>37</v>
      </c>
      <c r="Q237" s="3">
        <v>1</v>
      </c>
      <c r="R237" s="3">
        <v>98282</v>
      </c>
      <c r="S237" s="3">
        <v>796</v>
      </c>
      <c r="T237" s="3" t="s">
        <v>38</v>
      </c>
      <c r="U237" s="3">
        <v>2</v>
      </c>
      <c r="V237" s="3">
        <v>3701</v>
      </c>
      <c r="W237" s="5" t="str">
        <f t="shared" si="12"/>
        <v>750+</v>
      </c>
      <c r="X237" s="5" t="str">
        <f t="shared" si="13"/>
        <v>Manageable (36-50%)</v>
      </c>
      <c r="Y237" s="5" t="str">
        <f t="shared" si="14"/>
        <v>Employed</v>
      </c>
      <c r="Z237" s="3" t="str">
        <f t="shared" si="15"/>
        <v>Consumer &amp; Personal</v>
      </c>
    </row>
    <row r="238" spans="1:26" ht="17.399999999999999" x14ac:dyDescent="0.35">
      <c r="A238" s="3" t="s">
        <v>509</v>
      </c>
      <c r="B238" s="3" t="s">
        <v>510</v>
      </c>
      <c r="C238" s="4">
        <v>45503</v>
      </c>
      <c r="D238" s="3" t="s">
        <v>41</v>
      </c>
      <c r="E238" s="3">
        <v>13900</v>
      </c>
      <c r="F238" s="3">
        <v>24</v>
      </c>
      <c r="G238" s="3">
        <v>10.54</v>
      </c>
      <c r="H238" s="3">
        <v>644.88</v>
      </c>
      <c r="I238" s="3">
        <v>39.1</v>
      </c>
      <c r="J238" s="3" t="s">
        <v>99</v>
      </c>
      <c r="K238" s="3">
        <v>30</v>
      </c>
      <c r="L238" s="3">
        <v>0</v>
      </c>
      <c r="M238" s="3">
        <v>55</v>
      </c>
      <c r="N238" s="3" t="s">
        <v>262</v>
      </c>
      <c r="O238" s="3" t="s">
        <v>43</v>
      </c>
      <c r="P238" s="3" t="s">
        <v>73</v>
      </c>
      <c r="Q238" s="3">
        <v>20</v>
      </c>
      <c r="R238" s="3">
        <v>40418</v>
      </c>
      <c r="S238" s="3">
        <v>697</v>
      </c>
      <c r="T238" s="3" t="s">
        <v>38</v>
      </c>
      <c r="U238" s="3">
        <v>2</v>
      </c>
      <c r="V238" s="3">
        <v>672</v>
      </c>
      <c r="W238" s="5" t="str">
        <f t="shared" si="12"/>
        <v>650-699</v>
      </c>
      <c r="X238" s="5" t="str">
        <f t="shared" si="13"/>
        <v>Manageable (36-50%)</v>
      </c>
      <c r="Y238" s="5" t="str">
        <f t="shared" si="14"/>
        <v>Employed</v>
      </c>
      <c r="Z238" s="3" t="str">
        <f t="shared" si="15"/>
        <v>Debt &amp; Assets</v>
      </c>
    </row>
    <row r="239" spans="1:26" ht="17.399999999999999" x14ac:dyDescent="0.35">
      <c r="A239" s="3" t="s">
        <v>511</v>
      </c>
      <c r="B239" s="3" t="s">
        <v>512</v>
      </c>
      <c r="C239" s="4">
        <v>45560</v>
      </c>
      <c r="D239" s="3" t="s">
        <v>31</v>
      </c>
      <c r="E239" s="3">
        <v>29800</v>
      </c>
      <c r="F239" s="3">
        <v>12</v>
      </c>
      <c r="G239" s="3">
        <v>7.73</v>
      </c>
      <c r="H239" s="3">
        <v>2588.54</v>
      </c>
      <c r="I239" s="3">
        <v>81.900000000000006</v>
      </c>
      <c r="J239" s="3" t="s">
        <v>48</v>
      </c>
      <c r="K239" s="3">
        <v>0</v>
      </c>
      <c r="L239" s="3">
        <v>0</v>
      </c>
      <c r="M239" s="3">
        <v>43</v>
      </c>
      <c r="N239" s="3" t="s">
        <v>96</v>
      </c>
      <c r="O239" s="3" t="s">
        <v>43</v>
      </c>
      <c r="P239" s="3" t="s">
        <v>37</v>
      </c>
      <c r="Q239" s="3">
        <v>9</v>
      </c>
      <c r="R239" s="3">
        <v>71852</v>
      </c>
      <c r="S239" s="3">
        <v>823</v>
      </c>
      <c r="T239" s="3" t="s">
        <v>45</v>
      </c>
      <c r="U239" s="3">
        <v>1</v>
      </c>
      <c r="V239" s="3">
        <v>2316</v>
      </c>
      <c r="W239" s="5" t="str">
        <f t="shared" si="12"/>
        <v>750+</v>
      </c>
      <c r="X239" s="5" t="str">
        <f t="shared" si="13"/>
        <v>Critical (&gt;75%)</v>
      </c>
      <c r="Y239" s="5" t="str">
        <f t="shared" si="14"/>
        <v>Employed</v>
      </c>
      <c r="Z239" s="3" t="str">
        <f t="shared" si="15"/>
        <v>Debt &amp; Assets</v>
      </c>
    </row>
    <row r="240" spans="1:26" ht="17.399999999999999" x14ac:dyDescent="0.35">
      <c r="A240" s="3" t="s">
        <v>513</v>
      </c>
      <c r="B240" s="3" t="s">
        <v>514</v>
      </c>
      <c r="C240" s="4">
        <v>45699</v>
      </c>
      <c r="D240" s="3" t="s">
        <v>24</v>
      </c>
      <c r="E240" s="3">
        <v>17500</v>
      </c>
      <c r="F240" s="3">
        <v>36</v>
      </c>
      <c r="G240" s="3">
        <v>10.71</v>
      </c>
      <c r="H240" s="3">
        <v>570.53</v>
      </c>
      <c r="I240" s="3">
        <v>52</v>
      </c>
      <c r="J240" s="3" t="s">
        <v>25</v>
      </c>
      <c r="K240" s="3">
        <v>0</v>
      </c>
      <c r="L240" s="3">
        <v>0</v>
      </c>
      <c r="M240" s="3">
        <v>48</v>
      </c>
      <c r="N240" s="3" t="s">
        <v>42</v>
      </c>
      <c r="O240" s="3" t="s">
        <v>43</v>
      </c>
      <c r="P240" s="3" t="s">
        <v>28</v>
      </c>
      <c r="Q240" s="3">
        <v>0</v>
      </c>
      <c r="R240" s="3">
        <v>86875</v>
      </c>
      <c r="S240" s="3">
        <v>850</v>
      </c>
      <c r="T240" s="3" t="s">
        <v>45</v>
      </c>
      <c r="U240" s="3">
        <v>4</v>
      </c>
      <c r="V240" s="3">
        <v>3195</v>
      </c>
      <c r="W240" s="5" t="str">
        <f t="shared" si="12"/>
        <v>750+</v>
      </c>
      <c r="X240" s="5" t="str">
        <f t="shared" si="13"/>
        <v>High (51-75%)</v>
      </c>
      <c r="Y240" s="5" t="str">
        <f t="shared" si="14"/>
        <v>Self-Employed</v>
      </c>
      <c r="Z240" s="3" t="str">
        <f t="shared" si="15"/>
        <v>Consumer &amp; Personal</v>
      </c>
    </row>
    <row r="241" spans="1:26" ht="17.399999999999999" x14ac:dyDescent="0.35">
      <c r="A241" s="3" t="s">
        <v>515</v>
      </c>
      <c r="B241" s="3" t="s">
        <v>516</v>
      </c>
      <c r="C241" s="4">
        <v>45532</v>
      </c>
      <c r="D241" s="3" t="s">
        <v>41</v>
      </c>
      <c r="E241" s="3">
        <v>17700</v>
      </c>
      <c r="F241" s="3">
        <v>12</v>
      </c>
      <c r="G241" s="3">
        <v>11.3</v>
      </c>
      <c r="H241" s="3">
        <v>1566.83</v>
      </c>
      <c r="I241" s="3">
        <v>48.2</v>
      </c>
      <c r="J241" s="3" t="s">
        <v>99</v>
      </c>
      <c r="K241" s="3">
        <v>0</v>
      </c>
      <c r="L241" s="3">
        <v>0</v>
      </c>
      <c r="M241" s="3">
        <v>59</v>
      </c>
      <c r="N241" s="3" t="s">
        <v>262</v>
      </c>
      <c r="O241" s="3" t="s">
        <v>43</v>
      </c>
      <c r="P241" s="3" t="s">
        <v>28</v>
      </c>
      <c r="Q241" s="3">
        <v>33</v>
      </c>
      <c r="R241" s="3">
        <v>77828</v>
      </c>
      <c r="S241" s="3">
        <v>622</v>
      </c>
      <c r="T241" s="3" t="s">
        <v>45</v>
      </c>
      <c r="U241" s="3">
        <v>2</v>
      </c>
      <c r="V241" s="3">
        <v>1557</v>
      </c>
      <c r="W241" s="5" t="str">
        <f t="shared" si="12"/>
        <v>600-649</v>
      </c>
      <c r="X241" s="5" t="str">
        <f t="shared" si="13"/>
        <v>Manageable (36-50%)</v>
      </c>
      <c r="Y241" s="5" t="str">
        <f t="shared" si="14"/>
        <v>Self-Employed</v>
      </c>
      <c r="Z241" s="3" t="str">
        <f t="shared" si="15"/>
        <v>Debt &amp; Assets</v>
      </c>
    </row>
    <row r="242" spans="1:26" ht="17.399999999999999" x14ac:dyDescent="0.35">
      <c r="A242" s="3" t="s">
        <v>517</v>
      </c>
      <c r="B242" s="3" t="s">
        <v>518</v>
      </c>
      <c r="C242" s="4">
        <v>45682</v>
      </c>
      <c r="D242" s="3" t="s">
        <v>77</v>
      </c>
      <c r="E242" s="3">
        <v>32100</v>
      </c>
      <c r="F242" s="3">
        <v>12</v>
      </c>
      <c r="G242" s="3">
        <v>10.9</v>
      </c>
      <c r="H242" s="3">
        <v>2835.55</v>
      </c>
      <c r="I242" s="3">
        <v>139.69999999999999</v>
      </c>
      <c r="J242" s="3" t="s">
        <v>32</v>
      </c>
      <c r="K242" s="3">
        <v>131</v>
      </c>
      <c r="L242" s="3">
        <v>1</v>
      </c>
      <c r="M242" s="3">
        <v>65</v>
      </c>
      <c r="N242" s="3" t="s">
        <v>102</v>
      </c>
      <c r="O242" s="3" t="s">
        <v>79</v>
      </c>
      <c r="P242" s="3" t="s">
        <v>73</v>
      </c>
      <c r="Q242" s="3">
        <v>1</v>
      </c>
      <c r="R242" s="3">
        <v>33970</v>
      </c>
      <c r="S242" s="3">
        <v>622</v>
      </c>
      <c r="T242" s="3" t="s">
        <v>45</v>
      </c>
      <c r="U242" s="3">
        <v>0</v>
      </c>
      <c r="V242" s="3">
        <v>1118</v>
      </c>
      <c r="W242" s="5" t="str">
        <f t="shared" si="12"/>
        <v>600-649</v>
      </c>
      <c r="X242" s="5" t="str">
        <f t="shared" si="13"/>
        <v>Critical (&gt;75%)</v>
      </c>
      <c r="Y242" s="5" t="str">
        <f t="shared" si="14"/>
        <v>Employed</v>
      </c>
      <c r="Z242" s="3" t="str">
        <f t="shared" si="15"/>
        <v>Consumer &amp; Personal</v>
      </c>
    </row>
    <row r="243" spans="1:26" ht="17.399999999999999" x14ac:dyDescent="0.35">
      <c r="A243" s="3" t="s">
        <v>519</v>
      </c>
      <c r="B243" s="3" t="s">
        <v>520</v>
      </c>
      <c r="C243" s="4">
        <v>45465</v>
      </c>
      <c r="D243" s="3" t="s">
        <v>56</v>
      </c>
      <c r="E243" s="3">
        <v>28900</v>
      </c>
      <c r="F243" s="3">
        <v>60</v>
      </c>
      <c r="G243" s="3">
        <v>11.63</v>
      </c>
      <c r="H243" s="3">
        <v>637.47</v>
      </c>
      <c r="I243" s="3">
        <v>74.599999999999994</v>
      </c>
      <c r="J243" s="3" t="s">
        <v>32</v>
      </c>
      <c r="K243" s="3">
        <v>116</v>
      </c>
      <c r="L243" s="3">
        <v>1</v>
      </c>
      <c r="M243" s="3">
        <v>48</v>
      </c>
      <c r="N243" s="3" t="s">
        <v>115</v>
      </c>
      <c r="O243" s="3" t="s">
        <v>43</v>
      </c>
      <c r="P243" s="3" t="s">
        <v>73</v>
      </c>
      <c r="Q243" s="3">
        <v>22</v>
      </c>
      <c r="R243" s="3">
        <v>38878</v>
      </c>
      <c r="S243" s="3">
        <v>556</v>
      </c>
      <c r="T243" s="3" t="s">
        <v>38</v>
      </c>
      <c r="U243" s="3">
        <v>2</v>
      </c>
      <c r="V243" s="3">
        <v>1778</v>
      </c>
      <c r="W243" s="5" t="str">
        <f t="shared" si="12"/>
        <v>520-599</v>
      </c>
      <c r="X243" s="5" t="str">
        <f t="shared" si="13"/>
        <v>High (51-75%)</v>
      </c>
      <c r="Y243" s="5" t="str">
        <f t="shared" si="14"/>
        <v>Employed</v>
      </c>
      <c r="Z243" s="3" t="str">
        <f t="shared" si="15"/>
        <v>Consumer &amp; Personal</v>
      </c>
    </row>
    <row r="244" spans="1:26" ht="17.399999999999999" x14ac:dyDescent="0.35">
      <c r="A244" s="3" t="s">
        <v>521</v>
      </c>
      <c r="B244" s="3" t="s">
        <v>522</v>
      </c>
      <c r="C244" s="4">
        <v>45411</v>
      </c>
      <c r="D244" s="3" t="s">
        <v>56</v>
      </c>
      <c r="E244" s="3">
        <v>15500</v>
      </c>
      <c r="F244" s="3">
        <v>48</v>
      </c>
      <c r="G244" s="3">
        <v>7.34</v>
      </c>
      <c r="H244" s="3">
        <v>373.62</v>
      </c>
      <c r="I244" s="3">
        <v>49.7</v>
      </c>
      <c r="J244" s="3" t="s">
        <v>99</v>
      </c>
      <c r="K244" s="3">
        <v>30</v>
      </c>
      <c r="L244" s="3">
        <v>0</v>
      </c>
      <c r="M244" s="3">
        <v>52</v>
      </c>
      <c r="N244" s="3" t="s">
        <v>135</v>
      </c>
      <c r="O244" s="3" t="s">
        <v>43</v>
      </c>
      <c r="P244" s="3" t="s">
        <v>37</v>
      </c>
      <c r="Q244" s="3">
        <v>21</v>
      </c>
      <c r="R244" s="3">
        <v>51649</v>
      </c>
      <c r="S244" s="3">
        <v>802</v>
      </c>
      <c r="T244" s="3" t="s">
        <v>45</v>
      </c>
      <c r="U244" s="3">
        <v>2</v>
      </c>
      <c r="V244" s="3">
        <v>1766</v>
      </c>
      <c r="W244" s="5" t="str">
        <f t="shared" si="12"/>
        <v>750+</v>
      </c>
      <c r="X244" s="5" t="str">
        <f t="shared" si="13"/>
        <v>Manageable (36-50%)</v>
      </c>
      <c r="Y244" s="5" t="str">
        <f t="shared" si="14"/>
        <v>Employed</v>
      </c>
      <c r="Z244" s="3" t="str">
        <f t="shared" si="15"/>
        <v>Consumer &amp; Personal</v>
      </c>
    </row>
    <row r="245" spans="1:26" ht="17.399999999999999" x14ac:dyDescent="0.35">
      <c r="A245" s="3" t="s">
        <v>523</v>
      </c>
      <c r="B245" s="3" t="s">
        <v>522</v>
      </c>
      <c r="C245" s="4">
        <v>45561</v>
      </c>
      <c r="D245" s="3" t="s">
        <v>41</v>
      </c>
      <c r="E245" s="3">
        <v>46500</v>
      </c>
      <c r="F245" s="3">
        <v>36</v>
      </c>
      <c r="G245" s="3">
        <v>11.15</v>
      </c>
      <c r="H245" s="3">
        <v>1525.66</v>
      </c>
      <c r="I245" s="3">
        <v>76.5</v>
      </c>
      <c r="J245" s="3" t="s">
        <v>48</v>
      </c>
      <c r="K245" s="3">
        <v>0</v>
      </c>
      <c r="L245" s="3">
        <v>0</v>
      </c>
      <c r="M245" s="3">
        <v>52</v>
      </c>
      <c r="N245" s="3" t="s">
        <v>135</v>
      </c>
      <c r="O245" s="3" t="s">
        <v>43</v>
      </c>
      <c r="P245" s="3" t="s">
        <v>37</v>
      </c>
      <c r="Q245" s="3">
        <v>21</v>
      </c>
      <c r="R245" s="3">
        <v>51649</v>
      </c>
      <c r="S245" s="3">
        <v>802</v>
      </c>
      <c r="T245" s="3" t="s">
        <v>45</v>
      </c>
      <c r="U245" s="3">
        <v>2</v>
      </c>
      <c r="V245" s="3">
        <v>1766</v>
      </c>
      <c r="W245" s="5" t="str">
        <f t="shared" si="12"/>
        <v>750+</v>
      </c>
      <c r="X245" s="5" t="str">
        <f t="shared" si="13"/>
        <v>Critical (&gt;75%)</v>
      </c>
      <c r="Y245" s="5" t="str">
        <f t="shared" si="14"/>
        <v>Employed</v>
      </c>
      <c r="Z245" s="3" t="str">
        <f t="shared" si="15"/>
        <v>Debt &amp; Assets</v>
      </c>
    </row>
    <row r="246" spans="1:26" ht="17.399999999999999" x14ac:dyDescent="0.35">
      <c r="A246" s="3" t="s">
        <v>524</v>
      </c>
      <c r="B246" s="3" t="s">
        <v>525</v>
      </c>
      <c r="C246" s="4">
        <v>45742</v>
      </c>
      <c r="D246" s="3" t="s">
        <v>56</v>
      </c>
      <c r="E246" s="3">
        <v>49700</v>
      </c>
      <c r="F246" s="3">
        <v>24</v>
      </c>
      <c r="G246" s="3">
        <v>11.68</v>
      </c>
      <c r="H246" s="3">
        <v>2332.13</v>
      </c>
      <c r="I246" s="3">
        <v>83.2</v>
      </c>
      <c r="J246" s="3" t="s">
        <v>32</v>
      </c>
      <c r="K246" s="3">
        <v>68</v>
      </c>
      <c r="L246" s="3">
        <v>1</v>
      </c>
      <c r="M246" s="3">
        <v>63</v>
      </c>
      <c r="N246" s="3" t="s">
        <v>62</v>
      </c>
      <c r="O246" s="3" t="s">
        <v>72</v>
      </c>
      <c r="P246" s="3" t="s">
        <v>37</v>
      </c>
      <c r="Q246" s="3">
        <v>17</v>
      </c>
      <c r="R246" s="3">
        <v>96142</v>
      </c>
      <c r="S246" s="3">
        <v>666</v>
      </c>
      <c r="T246" s="3" t="s">
        <v>45</v>
      </c>
      <c r="U246" s="3">
        <v>3</v>
      </c>
      <c r="V246" s="3">
        <v>4335</v>
      </c>
      <c r="W246" s="5" t="str">
        <f t="shared" si="12"/>
        <v>650-699</v>
      </c>
      <c r="X246" s="5" t="str">
        <f t="shared" si="13"/>
        <v>Critical (&gt;75%)</v>
      </c>
      <c r="Y246" s="5" t="str">
        <f t="shared" si="14"/>
        <v>Employed</v>
      </c>
      <c r="Z246" s="3" t="str">
        <f t="shared" si="15"/>
        <v>Consumer &amp; Personal</v>
      </c>
    </row>
    <row r="247" spans="1:26" ht="17.399999999999999" x14ac:dyDescent="0.35">
      <c r="A247" s="3" t="s">
        <v>526</v>
      </c>
      <c r="B247" s="3" t="s">
        <v>527</v>
      </c>
      <c r="C247" s="4">
        <v>45798</v>
      </c>
      <c r="D247" s="3" t="s">
        <v>56</v>
      </c>
      <c r="E247" s="3">
        <v>10100</v>
      </c>
      <c r="F247" s="3">
        <v>48</v>
      </c>
      <c r="G247" s="3">
        <v>9.1</v>
      </c>
      <c r="H247" s="3">
        <v>251.82</v>
      </c>
      <c r="I247" s="3">
        <v>21.8</v>
      </c>
      <c r="J247" s="3" t="s">
        <v>32</v>
      </c>
      <c r="K247" s="3">
        <v>121</v>
      </c>
      <c r="L247" s="3">
        <v>1</v>
      </c>
      <c r="M247" s="3">
        <v>40</v>
      </c>
      <c r="N247" s="3" t="s">
        <v>71</v>
      </c>
      <c r="O247" s="3" t="s">
        <v>72</v>
      </c>
      <c r="P247" s="3" t="s">
        <v>28</v>
      </c>
      <c r="Q247" s="3">
        <v>11</v>
      </c>
      <c r="R247" s="3">
        <v>96556</v>
      </c>
      <c r="S247" s="3">
        <v>785</v>
      </c>
      <c r="T247" s="3" t="s">
        <v>45</v>
      </c>
      <c r="U247" s="3">
        <v>2</v>
      </c>
      <c r="V247" s="3">
        <v>1502</v>
      </c>
      <c r="W247" s="5" t="str">
        <f t="shared" si="12"/>
        <v>750+</v>
      </c>
      <c r="X247" s="5" t="str">
        <f t="shared" si="13"/>
        <v>Low (&lt;=35%)</v>
      </c>
      <c r="Y247" s="5" t="str">
        <f t="shared" si="14"/>
        <v>Self-Employed</v>
      </c>
      <c r="Z247" s="3" t="str">
        <f t="shared" si="15"/>
        <v>Consumer &amp; Personal</v>
      </c>
    </row>
    <row r="248" spans="1:26" ht="17.399999999999999" x14ac:dyDescent="0.35">
      <c r="A248" s="3" t="s">
        <v>528</v>
      </c>
      <c r="B248" s="3" t="s">
        <v>529</v>
      </c>
      <c r="C248" s="4">
        <v>45387</v>
      </c>
      <c r="D248" s="3" t="s">
        <v>35</v>
      </c>
      <c r="E248" s="3">
        <v>25700</v>
      </c>
      <c r="F248" s="3">
        <v>24</v>
      </c>
      <c r="G248" s="3">
        <v>8.25</v>
      </c>
      <c r="H248" s="3">
        <v>1165.27</v>
      </c>
      <c r="I248" s="3">
        <v>21.4</v>
      </c>
      <c r="J248" s="3" t="s">
        <v>25</v>
      </c>
      <c r="K248" s="3">
        <v>0</v>
      </c>
      <c r="L248" s="3">
        <v>0</v>
      </c>
      <c r="M248" s="3">
        <v>29</v>
      </c>
      <c r="N248" s="3" t="s">
        <v>68</v>
      </c>
      <c r="O248" s="3" t="s">
        <v>43</v>
      </c>
      <c r="P248" s="3" t="s">
        <v>37</v>
      </c>
      <c r="Q248" s="3">
        <v>5</v>
      </c>
      <c r="R248" s="3">
        <v>97749</v>
      </c>
      <c r="S248" s="3">
        <v>742</v>
      </c>
      <c r="T248" s="3" t="s">
        <v>29</v>
      </c>
      <c r="U248" s="3">
        <v>0</v>
      </c>
      <c r="V248" s="3">
        <v>578</v>
      </c>
      <c r="W248" s="5" t="str">
        <f t="shared" si="12"/>
        <v>700-749</v>
      </c>
      <c r="X248" s="5" t="str">
        <f t="shared" si="13"/>
        <v>Low (&lt;=35%)</v>
      </c>
      <c r="Y248" s="5" t="str">
        <f t="shared" si="14"/>
        <v>Employed</v>
      </c>
      <c r="Z248" s="3" t="str">
        <f t="shared" si="15"/>
        <v>Consumer &amp; Personal</v>
      </c>
    </row>
    <row r="249" spans="1:26" ht="17.399999999999999" x14ac:dyDescent="0.35">
      <c r="A249" s="3" t="s">
        <v>530</v>
      </c>
      <c r="B249" s="3" t="s">
        <v>529</v>
      </c>
      <c r="C249" s="4">
        <v>45296</v>
      </c>
      <c r="D249" s="3" t="s">
        <v>35</v>
      </c>
      <c r="E249" s="3">
        <v>29000</v>
      </c>
      <c r="F249" s="3">
        <v>60</v>
      </c>
      <c r="G249" s="3">
        <v>8.6999999999999993</v>
      </c>
      <c r="H249" s="3">
        <v>597.78</v>
      </c>
      <c r="I249" s="3">
        <v>14.4</v>
      </c>
      <c r="J249" s="3" t="s">
        <v>48</v>
      </c>
      <c r="K249" s="3">
        <v>0</v>
      </c>
      <c r="L249" s="3">
        <v>0</v>
      </c>
      <c r="M249" s="3">
        <v>29</v>
      </c>
      <c r="N249" s="3" t="s">
        <v>68</v>
      </c>
      <c r="O249" s="3" t="s">
        <v>43</v>
      </c>
      <c r="P249" s="3" t="s">
        <v>37</v>
      </c>
      <c r="Q249" s="3">
        <v>5</v>
      </c>
      <c r="R249" s="3">
        <v>97749</v>
      </c>
      <c r="S249" s="3">
        <v>742</v>
      </c>
      <c r="T249" s="3" t="s">
        <v>29</v>
      </c>
      <c r="U249" s="3">
        <v>0</v>
      </c>
      <c r="V249" s="3">
        <v>578</v>
      </c>
      <c r="W249" s="5" t="str">
        <f t="shared" si="12"/>
        <v>700-749</v>
      </c>
      <c r="X249" s="5" t="str">
        <f t="shared" si="13"/>
        <v>Low (&lt;=35%)</v>
      </c>
      <c r="Y249" s="5" t="str">
        <f t="shared" si="14"/>
        <v>Employed</v>
      </c>
      <c r="Z249" s="3" t="str">
        <f t="shared" si="15"/>
        <v>Consumer &amp; Personal</v>
      </c>
    </row>
    <row r="250" spans="1:26" ht="17.399999999999999" x14ac:dyDescent="0.35">
      <c r="A250" s="3" t="s">
        <v>531</v>
      </c>
      <c r="B250" s="3" t="s">
        <v>532</v>
      </c>
      <c r="C250" s="4">
        <v>45416</v>
      </c>
      <c r="D250" s="3" t="s">
        <v>24</v>
      </c>
      <c r="E250" s="3">
        <v>27200</v>
      </c>
      <c r="F250" s="3">
        <v>12</v>
      </c>
      <c r="G250" s="3">
        <v>8.59</v>
      </c>
      <c r="H250" s="3">
        <v>2373.5100000000002</v>
      </c>
      <c r="I250" s="3">
        <v>137.4</v>
      </c>
      <c r="J250" s="3" t="s">
        <v>25</v>
      </c>
      <c r="K250" s="3">
        <v>0</v>
      </c>
      <c r="L250" s="3">
        <v>0</v>
      </c>
      <c r="M250" s="3">
        <v>67</v>
      </c>
      <c r="N250" s="3" t="s">
        <v>119</v>
      </c>
      <c r="O250" s="3" t="s">
        <v>27</v>
      </c>
      <c r="P250" s="3" t="s">
        <v>85</v>
      </c>
      <c r="Q250" s="3">
        <v>13</v>
      </c>
      <c r="R250" s="3">
        <v>27294</v>
      </c>
      <c r="S250" s="3">
        <v>770</v>
      </c>
      <c r="T250" s="3" t="s">
        <v>38</v>
      </c>
      <c r="U250" s="3">
        <v>0</v>
      </c>
      <c r="V250" s="3">
        <v>752</v>
      </c>
      <c r="W250" s="5" t="str">
        <f t="shared" si="12"/>
        <v>750+</v>
      </c>
      <c r="X250" s="5" t="str">
        <f t="shared" si="13"/>
        <v>Critical (&gt;75%)</v>
      </c>
      <c r="Y250" s="5" t="str">
        <f t="shared" si="14"/>
        <v>Retired</v>
      </c>
      <c r="Z250" s="3" t="str">
        <f t="shared" si="15"/>
        <v>Consumer &amp; Personal</v>
      </c>
    </row>
    <row r="251" spans="1:26" ht="17.399999999999999" x14ac:dyDescent="0.35">
      <c r="A251" s="3" t="s">
        <v>533</v>
      </c>
      <c r="B251" s="3" t="s">
        <v>534</v>
      </c>
      <c r="C251" s="4">
        <v>45567</v>
      </c>
      <c r="D251" s="3" t="s">
        <v>56</v>
      </c>
      <c r="E251" s="3">
        <v>4700</v>
      </c>
      <c r="F251" s="3">
        <v>48</v>
      </c>
      <c r="G251" s="3">
        <v>11.45</v>
      </c>
      <c r="H251" s="3">
        <v>122.5</v>
      </c>
      <c r="I251" s="3">
        <v>22.8</v>
      </c>
      <c r="J251" s="3" t="s">
        <v>25</v>
      </c>
      <c r="K251" s="3">
        <v>0</v>
      </c>
      <c r="L251" s="3">
        <v>0</v>
      </c>
      <c r="M251" s="3">
        <v>39</v>
      </c>
      <c r="N251" s="3" t="s">
        <v>93</v>
      </c>
      <c r="O251" s="3" t="s">
        <v>27</v>
      </c>
      <c r="P251" s="3" t="s">
        <v>73</v>
      </c>
      <c r="Q251" s="3">
        <v>1</v>
      </c>
      <c r="R251" s="3">
        <v>23680</v>
      </c>
      <c r="S251" s="3">
        <v>649</v>
      </c>
      <c r="T251" s="3" t="s">
        <v>29</v>
      </c>
      <c r="U251" s="3">
        <v>0</v>
      </c>
      <c r="V251" s="3">
        <v>328</v>
      </c>
      <c r="W251" s="5" t="str">
        <f t="shared" si="12"/>
        <v>600-649</v>
      </c>
      <c r="X251" s="5" t="str">
        <f t="shared" si="13"/>
        <v>Low (&lt;=35%)</v>
      </c>
      <c r="Y251" s="5" t="str">
        <f t="shared" si="14"/>
        <v>Employed</v>
      </c>
      <c r="Z251" s="3" t="str">
        <f t="shared" si="15"/>
        <v>Consumer &amp; Personal</v>
      </c>
    </row>
    <row r="252" spans="1:26" ht="17.399999999999999" x14ac:dyDescent="0.35">
      <c r="A252" s="3" t="s">
        <v>535</v>
      </c>
      <c r="B252" s="3" t="s">
        <v>534</v>
      </c>
      <c r="C252" s="4">
        <v>45341</v>
      </c>
      <c r="D252" s="3" t="s">
        <v>77</v>
      </c>
      <c r="E252" s="3">
        <v>12400</v>
      </c>
      <c r="F252" s="3">
        <v>60</v>
      </c>
      <c r="G252" s="3">
        <v>9.83</v>
      </c>
      <c r="H252" s="3">
        <v>262.43</v>
      </c>
      <c r="I252" s="3">
        <v>29.9</v>
      </c>
      <c r="J252" s="3" t="s">
        <v>25</v>
      </c>
      <c r="K252" s="3">
        <v>0</v>
      </c>
      <c r="L252" s="3">
        <v>0</v>
      </c>
      <c r="M252" s="3">
        <v>39</v>
      </c>
      <c r="N252" s="3" t="s">
        <v>93</v>
      </c>
      <c r="O252" s="3" t="s">
        <v>27</v>
      </c>
      <c r="P252" s="3" t="s">
        <v>73</v>
      </c>
      <c r="Q252" s="3">
        <v>1</v>
      </c>
      <c r="R252" s="3">
        <v>23680</v>
      </c>
      <c r="S252" s="3">
        <v>649</v>
      </c>
      <c r="T252" s="3" t="s">
        <v>29</v>
      </c>
      <c r="U252" s="3">
        <v>0</v>
      </c>
      <c r="V252" s="3">
        <v>328</v>
      </c>
      <c r="W252" s="5" t="str">
        <f t="shared" si="12"/>
        <v>600-649</v>
      </c>
      <c r="X252" s="5" t="str">
        <f t="shared" si="13"/>
        <v>Low (&lt;=35%)</v>
      </c>
      <c r="Y252" s="5" t="str">
        <f t="shared" si="14"/>
        <v>Employed</v>
      </c>
      <c r="Z252" s="3" t="str">
        <f t="shared" si="15"/>
        <v>Consumer &amp; Personal</v>
      </c>
    </row>
    <row r="253" spans="1:26" ht="17.399999999999999" x14ac:dyDescent="0.35">
      <c r="A253" s="3" t="s">
        <v>536</v>
      </c>
      <c r="B253" s="3" t="s">
        <v>537</v>
      </c>
      <c r="C253" s="4">
        <v>45537</v>
      </c>
      <c r="D253" s="3" t="s">
        <v>35</v>
      </c>
      <c r="E253" s="3">
        <v>20300</v>
      </c>
      <c r="F253" s="3">
        <v>48</v>
      </c>
      <c r="G253" s="3">
        <v>11.28</v>
      </c>
      <c r="H253" s="3">
        <v>527.42999999999995</v>
      </c>
      <c r="I253" s="3">
        <v>51.1</v>
      </c>
      <c r="J253" s="3" t="s">
        <v>99</v>
      </c>
      <c r="K253" s="3">
        <v>15</v>
      </c>
      <c r="L253" s="3">
        <v>0</v>
      </c>
      <c r="M253" s="3">
        <v>28</v>
      </c>
      <c r="N253" s="3" t="s">
        <v>71</v>
      </c>
      <c r="O253" s="3" t="s">
        <v>43</v>
      </c>
      <c r="P253" s="3" t="s">
        <v>28</v>
      </c>
      <c r="Q253" s="3">
        <v>0</v>
      </c>
      <c r="R253" s="3">
        <v>47014</v>
      </c>
      <c r="S253" s="3">
        <v>600</v>
      </c>
      <c r="T253" s="3" t="s">
        <v>29</v>
      </c>
      <c r="U253" s="3">
        <v>0</v>
      </c>
      <c r="V253" s="3">
        <v>1474</v>
      </c>
      <c r="W253" s="5" t="str">
        <f t="shared" si="12"/>
        <v>600-649</v>
      </c>
      <c r="X253" s="5" t="str">
        <f t="shared" si="13"/>
        <v>High (51-75%)</v>
      </c>
      <c r="Y253" s="5" t="str">
        <f t="shared" si="14"/>
        <v>Self-Employed</v>
      </c>
      <c r="Z253" s="3" t="str">
        <f t="shared" si="15"/>
        <v>Consumer &amp; Personal</v>
      </c>
    </row>
    <row r="254" spans="1:26" ht="17.399999999999999" x14ac:dyDescent="0.35">
      <c r="A254" s="3" t="s">
        <v>538</v>
      </c>
      <c r="B254" s="3" t="s">
        <v>539</v>
      </c>
      <c r="C254" s="4">
        <v>45794</v>
      </c>
      <c r="D254" s="3" t="s">
        <v>56</v>
      </c>
      <c r="E254" s="3">
        <v>21300</v>
      </c>
      <c r="F254" s="3">
        <v>24</v>
      </c>
      <c r="G254" s="3">
        <v>8.7899999999999991</v>
      </c>
      <c r="H254" s="3">
        <v>971.03</v>
      </c>
      <c r="I254" s="3">
        <v>49</v>
      </c>
      <c r="J254" s="3" t="s">
        <v>25</v>
      </c>
      <c r="K254" s="3">
        <v>0</v>
      </c>
      <c r="L254" s="3">
        <v>0</v>
      </c>
      <c r="M254" s="3">
        <v>52</v>
      </c>
      <c r="N254" s="3" t="s">
        <v>71</v>
      </c>
      <c r="O254" s="3" t="s">
        <v>43</v>
      </c>
      <c r="P254" s="3" t="s">
        <v>37</v>
      </c>
      <c r="Q254" s="3">
        <v>18</v>
      </c>
      <c r="R254" s="3">
        <v>102097</v>
      </c>
      <c r="S254" s="3">
        <v>709</v>
      </c>
      <c r="T254" s="3" t="s">
        <v>45</v>
      </c>
      <c r="U254" s="3">
        <v>2</v>
      </c>
      <c r="V254" s="3">
        <v>3200</v>
      </c>
      <c r="W254" s="5" t="str">
        <f t="shared" si="12"/>
        <v>700-749</v>
      </c>
      <c r="X254" s="5" t="str">
        <f t="shared" si="13"/>
        <v>Manageable (36-50%)</v>
      </c>
      <c r="Y254" s="5" t="str">
        <f t="shared" si="14"/>
        <v>Employed</v>
      </c>
      <c r="Z254" s="3" t="str">
        <f t="shared" si="15"/>
        <v>Consumer &amp; Personal</v>
      </c>
    </row>
    <row r="255" spans="1:26" ht="17.399999999999999" x14ac:dyDescent="0.35">
      <c r="A255" s="3" t="s">
        <v>540</v>
      </c>
      <c r="B255" s="3" t="s">
        <v>539</v>
      </c>
      <c r="C255" s="4">
        <v>45793</v>
      </c>
      <c r="D255" s="3" t="s">
        <v>77</v>
      </c>
      <c r="E255" s="3">
        <v>31800</v>
      </c>
      <c r="F255" s="3">
        <v>36</v>
      </c>
      <c r="G255" s="3">
        <v>10.75</v>
      </c>
      <c r="H255" s="3">
        <v>1037.33</v>
      </c>
      <c r="I255" s="3">
        <v>49.8</v>
      </c>
      <c r="J255" s="3" t="s">
        <v>48</v>
      </c>
      <c r="K255" s="3">
        <v>0</v>
      </c>
      <c r="L255" s="3">
        <v>0</v>
      </c>
      <c r="M255" s="3">
        <v>52</v>
      </c>
      <c r="N255" s="3" t="s">
        <v>71</v>
      </c>
      <c r="O255" s="3" t="s">
        <v>43</v>
      </c>
      <c r="P255" s="3" t="s">
        <v>37</v>
      </c>
      <c r="Q255" s="3">
        <v>18</v>
      </c>
      <c r="R255" s="3">
        <v>102097</v>
      </c>
      <c r="S255" s="3">
        <v>709</v>
      </c>
      <c r="T255" s="3" t="s">
        <v>45</v>
      </c>
      <c r="U255" s="3">
        <v>2</v>
      </c>
      <c r="V255" s="3">
        <v>3200</v>
      </c>
      <c r="W255" s="5" t="str">
        <f t="shared" si="12"/>
        <v>700-749</v>
      </c>
      <c r="X255" s="5" t="str">
        <f t="shared" si="13"/>
        <v>Manageable (36-50%)</v>
      </c>
      <c r="Y255" s="5" t="str">
        <f t="shared" si="14"/>
        <v>Employed</v>
      </c>
      <c r="Z255" s="3" t="str">
        <f t="shared" si="15"/>
        <v>Consumer &amp; Personal</v>
      </c>
    </row>
    <row r="256" spans="1:26" ht="17.399999999999999" x14ac:dyDescent="0.35">
      <c r="A256" s="3" t="s">
        <v>541</v>
      </c>
      <c r="B256" s="3" t="s">
        <v>542</v>
      </c>
      <c r="C256" s="4">
        <v>45728</v>
      </c>
      <c r="D256" s="3" t="s">
        <v>61</v>
      </c>
      <c r="E256" s="3">
        <v>40900</v>
      </c>
      <c r="F256" s="3">
        <v>60</v>
      </c>
      <c r="G256" s="3">
        <v>10.37</v>
      </c>
      <c r="H256" s="3">
        <v>876.47</v>
      </c>
      <c r="I256" s="3">
        <v>17.3</v>
      </c>
      <c r="J256" s="3" t="s">
        <v>32</v>
      </c>
      <c r="K256" s="3">
        <v>161</v>
      </c>
      <c r="L256" s="3">
        <v>1</v>
      </c>
      <c r="M256" s="3">
        <v>36</v>
      </c>
      <c r="N256" s="3" t="s">
        <v>213</v>
      </c>
      <c r="O256" s="3" t="s">
        <v>43</v>
      </c>
      <c r="P256" s="3" t="s">
        <v>28</v>
      </c>
      <c r="Q256" s="3">
        <v>13</v>
      </c>
      <c r="R256" s="3">
        <v>100359</v>
      </c>
      <c r="S256" s="3">
        <v>634</v>
      </c>
      <c r="T256" s="3" t="s">
        <v>29</v>
      </c>
      <c r="U256" s="3">
        <v>3</v>
      </c>
      <c r="V256" s="3">
        <v>570</v>
      </c>
      <c r="W256" s="5" t="str">
        <f t="shared" si="12"/>
        <v>600-649</v>
      </c>
      <c r="X256" s="5" t="str">
        <f t="shared" si="13"/>
        <v>Low (&lt;=35%)</v>
      </c>
      <c r="Y256" s="5" t="str">
        <f t="shared" si="14"/>
        <v>Self-Employed</v>
      </c>
      <c r="Z256" s="3" t="str">
        <f t="shared" si="15"/>
        <v>Investment &amp; Growth</v>
      </c>
    </row>
    <row r="257" spans="1:26" ht="17.399999999999999" x14ac:dyDescent="0.35">
      <c r="A257" s="3" t="s">
        <v>543</v>
      </c>
      <c r="B257" s="3" t="s">
        <v>544</v>
      </c>
      <c r="C257" s="4">
        <v>45831</v>
      </c>
      <c r="D257" s="3" t="s">
        <v>24</v>
      </c>
      <c r="E257" s="3">
        <v>33100</v>
      </c>
      <c r="F257" s="3">
        <v>24</v>
      </c>
      <c r="G257" s="3">
        <v>13.1</v>
      </c>
      <c r="H257" s="3">
        <v>1575.19</v>
      </c>
      <c r="I257" s="3">
        <v>67.3</v>
      </c>
      <c r="J257" s="3" t="s">
        <v>48</v>
      </c>
      <c r="K257" s="3">
        <v>0</v>
      </c>
      <c r="L257" s="3">
        <v>0</v>
      </c>
      <c r="M257" s="3">
        <v>47</v>
      </c>
      <c r="N257" s="3" t="s">
        <v>167</v>
      </c>
      <c r="O257" s="3" t="s">
        <v>72</v>
      </c>
      <c r="P257" s="3" t="s">
        <v>37</v>
      </c>
      <c r="Q257" s="3">
        <v>1</v>
      </c>
      <c r="R257" s="3">
        <v>118864</v>
      </c>
      <c r="S257" s="3">
        <v>693</v>
      </c>
      <c r="T257" s="3" t="s">
        <v>38</v>
      </c>
      <c r="U257" s="3">
        <v>2</v>
      </c>
      <c r="V257" s="3">
        <v>5093</v>
      </c>
      <c r="W257" s="5" t="str">
        <f t="shared" si="12"/>
        <v>650-699</v>
      </c>
      <c r="X257" s="5" t="str">
        <f t="shared" si="13"/>
        <v>High (51-75%)</v>
      </c>
      <c r="Y257" s="5" t="str">
        <f t="shared" si="14"/>
        <v>Employed</v>
      </c>
      <c r="Z257" s="3" t="str">
        <f t="shared" si="15"/>
        <v>Consumer &amp; Personal</v>
      </c>
    </row>
    <row r="258" spans="1:26" ht="17.399999999999999" x14ac:dyDescent="0.35">
      <c r="A258" s="3" t="s">
        <v>545</v>
      </c>
      <c r="B258" s="3" t="s">
        <v>546</v>
      </c>
      <c r="C258" s="4">
        <v>45827</v>
      </c>
      <c r="D258" s="3" t="s">
        <v>24</v>
      </c>
      <c r="E258" s="3">
        <v>21300</v>
      </c>
      <c r="F258" s="3">
        <v>36</v>
      </c>
      <c r="G258" s="3">
        <v>11.26</v>
      </c>
      <c r="H258" s="3">
        <v>699.96</v>
      </c>
      <c r="I258" s="3">
        <v>71.099999999999994</v>
      </c>
      <c r="J258" s="3" t="s">
        <v>48</v>
      </c>
      <c r="K258" s="3">
        <v>0</v>
      </c>
      <c r="L258" s="3">
        <v>0</v>
      </c>
      <c r="M258" s="3">
        <v>43</v>
      </c>
      <c r="N258" s="3" t="s">
        <v>105</v>
      </c>
      <c r="O258" s="3" t="s">
        <v>79</v>
      </c>
      <c r="P258" s="3" t="s">
        <v>85</v>
      </c>
      <c r="Q258" s="3">
        <v>4</v>
      </c>
      <c r="R258" s="3">
        <v>32700</v>
      </c>
      <c r="S258" s="3">
        <v>777</v>
      </c>
      <c r="T258" s="3" t="s">
        <v>29</v>
      </c>
      <c r="U258" s="3">
        <v>0</v>
      </c>
      <c r="V258" s="3">
        <v>1238</v>
      </c>
      <c r="W258" s="5" t="str">
        <f t="shared" ref="W258:W321" si="16">IF(S258&lt;=599, "520-599", IF(S258&lt;=649, "600-649", IF(S258&lt;=699, "650-699", IF(S258&lt;=749, "700-749", "750+"))))</f>
        <v>750+</v>
      </c>
      <c r="X258" s="5" t="str">
        <f t="shared" ref="X258:X321" si="17">IF(I258&lt;=35, "Low (&lt;=35%)", IF(I258&lt;=50, "Manageable (36-50%)", IF(I258&lt;=75, "High (51-75%)", "Critical (&gt;75%)")))</f>
        <v>High (51-75%)</v>
      </c>
      <c r="Y258" s="5" t="str">
        <f t="shared" ref="Y258:Y321" si="18">IF(OR(P258="Full-Time", P258="Part-Time", P258="Contract"), "Employed", IF(P258="Self-Employed", "Self-Employed", IF(P258="Retired", "Retired", "Other")))</f>
        <v>Retired</v>
      </c>
      <c r="Z258" s="3" t="str">
        <f t="shared" ref="Z258:Z321" si="19">IF(OR(D258="Vacation", D258="Medical Expenses", D258="Wedding", D258="Moving"), "Consumer &amp; Personal", IF(OR(D258="Debt Consolidation", D258="Major Purchase", D258="Auto Loan"), "Debt &amp; Assets", IF(OR(D258="Home Improvement", D258="Business Loan", D258="Education"), "Investment &amp; Growth", "Other")))</f>
        <v>Consumer &amp; Personal</v>
      </c>
    </row>
    <row r="259" spans="1:26" ht="17.399999999999999" x14ac:dyDescent="0.35">
      <c r="A259" s="3" t="s">
        <v>547</v>
      </c>
      <c r="B259" s="3" t="s">
        <v>548</v>
      </c>
      <c r="C259" s="4">
        <v>45551</v>
      </c>
      <c r="D259" s="3" t="s">
        <v>35</v>
      </c>
      <c r="E259" s="3">
        <v>6900</v>
      </c>
      <c r="F259" s="3">
        <v>12</v>
      </c>
      <c r="G259" s="3">
        <v>11.99</v>
      </c>
      <c r="H259" s="3">
        <v>613.02</v>
      </c>
      <c r="I259" s="3">
        <v>62.1</v>
      </c>
      <c r="J259" s="3" t="s">
        <v>32</v>
      </c>
      <c r="K259" s="3">
        <v>179</v>
      </c>
      <c r="L259" s="3">
        <v>1</v>
      </c>
      <c r="M259" s="3">
        <v>43</v>
      </c>
      <c r="N259" s="3" t="s">
        <v>68</v>
      </c>
      <c r="O259" s="3" t="s">
        <v>27</v>
      </c>
      <c r="P259" s="3" t="s">
        <v>37</v>
      </c>
      <c r="Q259" s="3">
        <v>0</v>
      </c>
      <c r="R259" s="3">
        <v>31455</v>
      </c>
      <c r="S259" s="3">
        <v>620</v>
      </c>
      <c r="T259" s="3" t="s">
        <v>29</v>
      </c>
      <c r="U259" s="3">
        <v>0</v>
      </c>
      <c r="V259" s="3">
        <v>1014</v>
      </c>
      <c r="W259" s="5" t="str">
        <f t="shared" si="16"/>
        <v>600-649</v>
      </c>
      <c r="X259" s="5" t="str">
        <f t="shared" si="17"/>
        <v>High (51-75%)</v>
      </c>
      <c r="Y259" s="5" t="str">
        <f t="shared" si="18"/>
        <v>Employed</v>
      </c>
      <c r="Z259" s="3" t="str">
        <f t="shared" si="19"/>
        <v>Consumer &amp; Personal</v>
      </c>
    </row>
    <row r="260" spans="1:26" ht="17.399999999999999" x14ac:dyDescent="0.35">
      <c r="A260" s="3" t="s">
        <v>549</v>
      </c>
      <c r="B260" s="3" t="s">
        <v>548</v>
      </c>
      <c r="C260" s="4">
        <v>45478</v>
      </c>
      <c r="D260" s="3" t="s">
        <v>61</v>
      </c>
      <c r="E260" s="3">
        <v>2600</v>
      </c>
      <c r="F260" s="3">
        <v>48</v>
      </c>
      <c r="G260" s="3">
        <v>10.56</v>
      </c>
      <c r="H260" s="3">
        <v>66.64</v>
      </c>
      <c r="I260" s="3">
        <v>41.2</v>
      </c>
      <c r="J260" s="3" t="s">
        <v>48</v>
      </c>
      <c r="K260" s="3">
        <v>0</v>
      </c>
      <c r="L260" s="3">
        <v>0</v>
      </c>
      <c r="M260" s="3">
        <v>43</v>
      </c>
      <c r="N260" s="3" t="s">
        <v>68</v>
      </c>
      <c r="O260" s="3" t="s">
        <v>27</v>
      </c>
      <c r="P260" s="3" t="s">
        <v>37</v>
      </c>
      <c r="Q260" s="3">
        <v>0</v>
      </c>
      <c r="R260" s="3">
        <v>31455</v>
      </c>
      <c r="S260" s="3">
        <v>620</v>
      </c>
      <c r="T260" s="3" t="s">
        <v>29</v>
      </c>
      <c r="U260" s="3">
        <v>0</v>
      </c>
      <c r="V260" s="3">
        <v>1014</v>
      </c>
      <c r="W260" s="5" t="str">
        <f t="shared" si="16"/>
        <v>600-649</v>
      </c>
      <c r="X260" s="5" t="str">
        <f t="shared" si="17"/>
        <v>Manageable (36-50%)</v>
      </c>
      <c r="Y260" s="5" t="str">
        <f t="shared" si="18"/>
        <v>Employed</v>
      </c>
      <c r="Z260" s="3" t="str">
        <f t="shared" si="19"/>
        <v>Investment &amp; Growth</v>
      </c>
    </row>
    <row r="261" spans="1:26" ht="17.399999999999999" x14ac:dyDescent="0.35">
      <c r="A261" s="3" t="s">
        <v>550</v>
      </c>
      <c r="B261" s="3" t="s">
        <v>551</v>
      </c>
      <c r="C261" s="4">
        <v>45563</v>
      </c>
      <c r="D261" s="3" t="s">
        <v>52</v>
      </c>
      <c r="E261" s="3">
        <v>23800</v>
      </c>
      <c r="F261" s="3">
        <v>48</v>
      </c>
      <c r="G261" s="3">
        <v>10.65</v>
      </c>
      <c r="H261" s="3">
        <v>611.09</v>
      </c>
      <c r="I261" s="3">
        <v>27.8</v>
      </c>
      <c r="J261" s="3" t="s">
        <v>99</v>
      </c>
      <c r="K261" s="3">
        <v>15</v>
      </c>
      <c r="L261" s="3">
        <v>0</v>
      </c>
      <c r="M261" s="3">
        <v>34</v>
      </c>
      <c r="N261" s="3" t="s">
        <v>78</v>
      </c>
      <c r="O261" s="3" t="s">
        <v>27</v>
      </c>
      <c r="P261" s="3" t="s">
        <v>44</v>
      </c>
      <c r="Q261" s="3">
        <v>8</v>
      </c>
      <c r="R261" s="3">
        <v>53975</v>
      </c>
      <c r="S261" s="3">
        <v>748</v>
      </c>
      <c r="T261" s="3" t="s">
        <v>45</v>
      </c>
      <c r="U261" s="3">
        <v>2</v>
      </c>
      <c r="V261" s="3">
        <v>640</v>
      </c>
      <c r="W261" s="5" t="str">
        <f t="shared" si="16"/>
        <v>700-749</v>
      </c>
      <c r="X261" s="5" t="str">
        <f t="shared" si="17"/>
        <v>Low (&lt;=35%)</v>
      </c>
      <c r="Y261" s="5" t="str">
        <f t="shared" si="18"/>
        <v>Employed</v>
      </c>
      <c r="Z261" s="3" t="str">
        <f t="shared" si="19"/>
        <v>Investment &amp; Growth</v>
      </c>
    </row>
    <row r="262" spans="1:26" ht="17.399999999999999" x14ac:dyDescent="0.35">
      <c r="A262" s="3" t="s">
        <v>552</v>
      </c>
      <c r="B262" s="3" t="s">
        <v>553</v>
      </c>
      <c r="C262" s="4">
        <v>45310</v>
      </c>
      <c r="D262" s="3" t="s">
        <v>61</v>
      </c>
      <c r="E262" s="3">
        <v>18600</v>
      </c>
      <c r="F262" s="3">
        <v>12</v>
      </c>
      <c r="G262" s="3">
        <v>10.15</v>
      </c>
      <c r="H262" s="3">
        <v>1636.53</v>
      </c>
      <c r="I262" s="3">
        <v>99.8</v>
      </c>
      <c r="J262" s="3" t="s">
        <v>32</v>
      </c>
      <c r="K262" s="3">
        <v>59</v>
      </c>
      <c r="L262" s="3">
        <v>1</v>
      </c>
      <c r="M262" s="3">
        <v>30</v>
      </c>
      <c r="N262" s="3" t="s">
        <v>42</v>
      </c>
      <c r="O262" s="3" t="s">
        <v>43</v>
      </c>
      <c r="P262" s="3" t="s">
        <v>85</v>
      </c>
      <c r="Q262" s="3">
        <v>3</v>
      </c>
      <c r="R262" s="3">
        <v>24621</v>
      </c>
      <c r="S262" s="3">
        <v>721</v>
      </c>
      <c r="T262" s="3" t="s">
        <v>45</v>
      </c>
      <c r="U262" s="3">
        <v>4</v>
      </c>
      <c r="V262" s="3">
        <v>412</v>
      </c>
      <c r="W262" s="5" t="str">
        <f t="shared" si="16"/>
        <v>700-749</v>
      </c>
      <c r="X262" s="5" t="str">
        <f t="shared" si="17"/>
        <v>Critical (&gt;75%)</v>
      </c>
      <c r="Y262" s="5" t="str">
        <f t="shared" si="18"/>
        <v>Retired</v>
      </c>
      <c r="Z262" s="3" t="str">
        <f t="shared" si="19"/>
        <v>Investment &amp; Growth</v>
      </c>
    </row>
    <row r="263" spans="1:26" ht="17.399999999999999" x14ac:dyDescent="0.35">
      <c r="A263" s="3" t="s">
        <v>554</v>
      </c>
      <c r="B263" s="3" t="s">
        <v>555</v>
      </c>
      <c r="C263" s="4">
        <v>45602</v>
      </c>
      <c r="D263" s="3" t="s">
        <v>24</v>
      </c>
      <c r="E263" s="3">
        <v>21400</v>
      </c>
      <c r="F263" s="3">
        <v>60</v>
      </c>
      <c r="G263" s="3">
        <v>12.71</v>
      </c>
      <c r="H263" s="3">
        <v>483.74</v>
      </c>
      <c r="I263" s="3">
        <v>34.4</v>
      </c>
      <c r="J263" s="3" t="s">
        <v>99</v>
      </c>
      <c r="K263" s="3">
        <v>30</v>
      </c>
      <c r="L263" s="3">
        <v>0</v>
      </c>
      <c r="M263" s="3">
        <v>68</v>
      </c>
      <c r="N263" s="3" t="s">
        <v>105</v>
      </c>
      <c r="O263" s="3" t="s">
        <v>43</v>
      </c>
      <c r="P263" s="3" t="s">
        <v>37</v>
      </c>
      <c r="Q263" s="3">
        <v>3</v>
      </c>
      <c r="R263" s="3">
        <v>63539</v>
      </c>
      <c r="S263" s="3">
        <v>655</v>
      </c>
      <c r="T263" s="3" t="s">
        <v>29</v>
      </c>
      <c r="U263" s="3">
        <v>1</v>
      </c>
      <c r="V263" s="3">
        <v>1338</v>
      </c>
      <c r="W263" s="5" t="str">
        <f t="shared" si="16"/>
        <v>650-699</v>
      </c>
      <c r="X263" s="5" t="str">
        <f t="shared" si="17"/>
        <v>Low (&lt;=35%)</v>
      </c>
      <c r="Y263" s="5" t="str">
        <f t="shared" si="18"/>
        <v>Employed</v>
      </c>
      <c r="Z263" s="3" t="str">
        <f t="shared" si="19"/>
        <v>Consumer &amp; Personal</v>
      </c>
    </row>
    <row r="264" spans="1:26" ht="17.399999999999999" x14ac:dyDescent="0.35">
      <c r="A264" s="3" t="s">
        <v>556</v>
      </c>
      <c r="B264" s="3" t="s">
        <v>557</v>
      </c>
      <c r="C264" s="4">
        <v>45406</v>
      </c>
      <c r="D264" s="3" t="s">
        <v>31</v>
      </c>
      <c r="E264" s="3">
        <v>6200</v>
      </c>
      <c r="F264" s="3">
        <v>24</v>
      </c>
      <c r="G264" s="3">
        <v>9.9</v>
      </c>
      <c r="H264" s="3">
        <v>285.81</v>
      </c>
      <c r="I264" s="3">
        <v>14.5</v>
      </c>
      <c r="J264" s="3" t="s">
        <v>48</v>
      </c>
      <c r="K264" s="3">
        <v>0</v>
      </c>
      <c r="L264" s="3">
        <v>0</v>
      </c>
      <c r="M264" s="3">
        <v>54</v>
      </c>
      <c r="N264" s="3" t="s">
        <v>62</v>
      </c>
      <c r="O264" s="3" t="s">
        <v>72</v>
      </c>
      <c r="P264" s="3" t="s">
        <v>44</v>
      </c>
      <c r="Q264" s="3">
        <v>18</v>
      </c>
      <c r="R264" s="3">
        <v>120652</v>
      </c>
      <c r="S264" s="3">
        <v>610</v>
      </c>
      <c r="T264" s="3" t="s">
        <v>45</v>
      </c>
      <c r="U264" s="3">
        <v>0</v>
      </c>
      <c r="V264" s="3">
        <v>1174</v>
      </c>
      <c r="W264" s="5" t="str">
        <f t="shared" si="16"/>
        <v>600-649</v>
      </c>
      <c r="X264" s="5" t="str">
        <f t="shared" si="17"/>
        <v>Low (&lt;=35%)</v>
      </c>
      <c r="Y264" s="5" t="str">
        <f t="shared" si="18"/>
        <v>Employed</v>
      </c>
      <c r="Z264" s="3" t="str">
        <f t="shared" si="19"/>
        <v>Debt &amp; Assets</v>
      </c>
    </row>
    <row r="265" spans="1:26" ht="17.399999999999999" x14ac:dyDescent="0.35">
      <c r="A265" s="3" t="s">
        <v>558</v>
      </c>
      <c r="B265" s="3" t="s">
        <v>559</v>
      </c>
      <c r="C265" s="4">
        <v>45487</v>
      </c>
      <c r="D265" s="3" t="s">
        <v>24</v>
      </c>
      <c r="E265" s="3">
        <v>27800</v>
      </c>
      <c r="F265" s="3">
        <v>48</v>
      </c>
      <c r="G265" s="3">
        <v>10.78</v>
      </c>
      <c r="H265" s="3">
        <v>715.54</v>
      </c>
      <c r="I265" s="3">
        <v>38.1</v>
      </c>
      <c r="J265" s="3" t="s">
        <v>48</v>
      </c>
      <c r="K265" s="3">
        <v>0</v>
      </c>
      <c r="L265" s="3">
        <v>0</v>
      </c>
      <c r="M265" s="3">
        <v>31</v>
      </c>
      <c r="N265" s="3" t="s">
        <v>68</v>
      </c>
      <c r="O265" s="3" t="s">
        <v>43</v>
      </c>
      <c r="P265" s="3" t="s">
        <v>85</v>
      </c>
      <c r="Q265" s="3">
        <v>7</v>
      </c>
      <c r="R265" s="3">
        <v>38662</v>
      </c>
      <c r="S265" s="3">
        <v>806</v>
      </c>
      <c r="T265" s="3" t="s">
        <v>29</v>
      </c>
      <c r="U265" s="3">
        <v>2</v>
      </c>
      <c r="V265" s="3">
        <v>512</v>
      </c>
      <c r="W265" s="5" t="str">
        <f t="shared" si="16"/>
        <v>750+</v>
      </c>
      <c r="X265" s="5" t="str">
        <f t="shared" si="17"/>
        <v>Manageable (36-50%)</v>
      </c>
      <c r="Y265" s="5" t="str">
        <f t="shared" si="18"/>
        <v>Retired</v>
      </c>
      <c r="Z265" s="3" t="str">
        <f t="shared" si="19"/>
        <v>Consumer &amp; Personal</v>
      </c>
    </row>
    <row r="266" spans="1:26" ht="17.399999999999999" x14ac:dyDescent="0.35">
      <c r="A266" s="3" t="s">
        <v>560</v>
      </c>
      <c r="B266" s="3" t="s">
        <v>561</v>
      </c>
      <c r="C266" s="4">
        <v>45774</v>
      </c>
      <c r="D266" s="3" t="s">
        <v>61</v>
      </c>
      <c r="E266" s="3">
        <v>5500</v>
      </c>
      <c r="F266" s="3">
        <v>48</v>
      </c>
      <c r="G266" s="3">
        <v>11.5</v>
      </c>
      <c r="H266" s="3">
        <v>143.49</v>
      </c>
      <c r="I266" s="3">
        <v>36.6</v>
      </c>
      <c r="J266" s="3" t="s">
        <v>32</v>
      </c>
      <c r="K266" s="3">
        <v>145</v>
      </c>
      <c r="L266" s="3">
        <v>1</v>
      </c>
      <c r="M266" s="3">
        <v>37</v>
      </c>
      <c r="N266" s="3" t="s">
        <v>149</v>
      </c>
      <c r="O266" s="3" t="s">
        <v>43</v>
      </c>
      <c r="P266" s="3" t="s">
        <v>73</v>
      </c>
      <c r="Q266" s="3">
        <v>14</v>
      </c>
      <c r="R266" s="3">
        <v>49958</v>
      </c>
      <c r="S266" s="3">
        <v>799</v>
      </c>
      <c r="T266" s="3" t="s">
        <v>45</v>
      </c>
      <c r="U266" s="3">
        <v>0</v>
      </c>
      <c r="V266" s="3">
        <v>1382</v>
      </c>
      <c r="W266" s="5" t="str">
        <f t="shared" si="16"/>
        <v>750+</v>
      </c>
      <c r="X266" s="5" t="str">
        <f t="shared" si="17"/>
        <v>Manageable (36-50%)</v>
      </c>
      <c r="Y266" s="5" t="str">
        <f t="shared" si="18"/>
        <v>Employed</v>
      </c>
      <c r="Z266" s="3" t="str">
        <f t="shared" si="19"/>
        <v>Investment &amp; Growth</v>
      </c>
    </row>
    <row r="267" spans="1:26" ht="17.399999999999999" x14ac:dyDescent="0.35">
      <c r="A267" s="3" t="s">
        <v>562</v>
      </c>
      <c r="B267" s="3" t="s">
        <v>563</v>
      </c>
      <c r="C267" s="4">
        <v>45300</v>
      </c>
      <c r="D267" s="3" t="s">
        <v>64</v>
      </c>
      <c r="E267" s="3">
        <v>39400</v>
      </c>
      <c r="F267" s="3">
        <v>48</v>
      </c>
      <c r="G267" s="3">
        <v>6.77</v>
      </c>
      <c r="H267" s="3">
        <v>939.28</v>
      </c>
      <c r="I267" s="3">
        <v>26.5</v>
      </c>
      <c r="J267" s="3" t="s">
        <v>32</v>
      </c>
      <c r="K267" s="3">
        <v>140</v>
      </c>
      <c r="L267" s="3">
        <v>1</v>
      </c>
      <c r="M267" s="3">
        <v>25</v>
      </c>
      <c r="N267" s="3" t="s">
        <v>340</v>
      </c>
      <c r="O267" s="3" t="s">
        <v>72</v>
      </c>
      <c r="P267" s="3" t="s">
        <v>44</v>
      </c>
      <c r="Q267" s="3">
        <v>1</v>
      </c>
      <c r="R267" s="3">
        <v>71945</v>
      </c>
      <c r="S267" s="3">
        <v>809</v>
      </c>
      <c r="T267" s="3" t="s">
        <v>38</v>
      </c>
      <c r="U267" s="3">
        <v>1</v>
      </c>
      <c r="V267" s="3">
        <v>648</v>
      </c>
      <c r="W267" s="5" t="str">
        <f t="shared" si="16"/>
        <v>750+</v>
      </c>
      <c r="X267" s="5" t="str">
        <f t="shared" si="17"/>
        <v>Low (&lt;=35%)</v>
      </c>
      <c r="Y267" s="5" t="str">
        <f t="shared" si="18"/>
        <v>Employed</v>
      </c>
      <c r="Z267" s="3" t="str">
        <f t="shared" si="19"/>
        <v>Investment &amp; Growth</v>
      </c>
    </row>
    <row r="268" spans="1:26" ht="17.399999999999999" x14ac:dyDescent="0.35">
      <c r="A268" s="3" t="s">
        <v>564</v>
      </c>
      <c r="B268" s="3" t="s">
        <v>565</v>
      </c>
      <c r="C268" s="4">
        <v>45329</v>
      </c>
      <c r="D268" s="3" t="s">
        <v>24</v>
      </c>
      <c r="E268" s="3">
        <v>30600</v>
      </c>
      <c r="F268" s="3">
        <v>60</v>
      </c>
      <c r="G268" s="3">
        <v>12.03</v>
      </c>
      <c r="H268" s="3">
        <v>681.14</v>
      </c>
      <c r="I268" s="3">
        <v>39.4</v>
      </c>
      <c r="J268" s="3" t="s">
        <v>48</v>
      </c>
      <c r="K268" s="3">
        <v>0</v>
      </c>
      <c r="L268" s="3">
        <v>0</v>
      </c>
      <c r="M268" s="3">
        <v>35</v>
      </c>
      <c r="N268" s="3" t="s">
        <v>93</v>
      </c>
      <c r="O268" s="3" t="s">
        <v>72</v>
      </c>
      <c r="P268" s="3" t="s">
        <v>37</v>
      </c>
      <c r="Q268" s="3">
        <v>1</v>
      </c>
      <c r="R268" s="3">
        <v>131724</v>
      </c>
      <c r="S268" s="3">
        <v>778</v>
      </c>
      <c r="T268" s="3" t="s">
        <v>45</v>
      </c>
      <c r="U268" s="3">
        <v>1</v>
      </c>
      <c r="V268" s="3">
        <v>3643</v>
      </c>
      <c r="W268" s="5" t="str">
        <f t="shared" si="16"/>
        <v>750+</v>
      </c>
      <c r="X268" s="5" t="str">
        <f t="shared" si="17"/>
        <v>Manageable (36-50%)</v>
      </c>
      <c r="Y268" s="5" t="str">
        <f t="shared" si="18"/>
        <v>Employed</v>
      </c>
      <c r="Z268" s="3" t="str">
        <f t="shared" si="19"/>
        <v>Consumer &amp; Personal</v>
      </c>
    </row>
    <row r="269" spans="1:26" ht="17.399999999999999" x14ac:dyDescent="0.35">
      <c r="A269" s="3" t="s">
        <v>566</v>
      </c>
      <c r="B269" s="3" t="s">
        <v>565</v>
      </c>
      <c r="C269" s="4">
        <v>45354</v>
      </c>
      <c r="D269" s="3" t="s">
        <v>77</v>
      </c>
      <c r="E269" s="3">
        <v>45400</v>
      </c>
      <c r="F269" s="3">
        <v>48</v>
      </c>
      <c r="G269" s="3">
        <v>8.19</v>
      </c>
      <c r="H269" s="3">
        <v>1112.4000000000001</v>
      </c>
      <c r="I269" s="3">
        <v>43.3</v>
      </c>
      <c r="J269" s="3" t="s">
        <v>48</v>
      </c>
      <c r="K269" s="3">
        <v>0</v>
      </c>
      <c r="L269" s="3">
        <v>0</v>
      </c>
      <c r="M269" s="3">
        <v>35</v>
      </c>
      <c r="N269" s="3" t="s">
        <v>93</v>
      </c>
      <c r="O269" s="3" t="s">
        <v>72</v>
      </c>
      <c r="P269" s="3" t="s">
        <v>37</v>
      </c>
      <c r="Q269" s="3">
        <v>1</v>
      </c>
      <c r="R269" s="3">
        <v>131724</v>
      </c>
      <c r="S269" s="3">
        <v>778</v>
      </c>
      <c r="T269" s="3" t="s">
        <v>45</v>
      </c>
      <c r="U269" s="3">
        <v>1</v>
      </c>
      <c r="V269" s="3">
        <v>3643</v>
      </c>
      <c r="W269" s="5" t="str">
        <f t="shared" si="16"/>
        <v>750+</v>
      </c>
      <c r="X269" s="5" t="str">
        <f t="shared" si="17"/>
        <v>Manageable (36-50%)</v>
      </c>
      <c r="Y269" s="5" t="str">
        <f t="shared" si="18"/>
        <v>Employed</v>
      </c>
      <c r="Z269" s="3" t="str">
        <f t="shared" si="19"/>
        <v>Consumer &amp; Personal</v>
      </c>
    </row>
    <row r="270" spans="1:26" ht="17.399999999999999" x14ac:dyDescent="0.35">
      <c r="A270" s="3" t="s">
        <v>567</v>
      </c>
      <c r="B270" s="3" t="s">
        <v>568</v>
      </c>
      <c r="C270" s="4">
        <v>45647</v>
      </c>
      <c r="D270" s="3" t="s">
        <v>31</v>
      </c>
      <c r="E270" s="3">
        <v>7600</v>
      </c>
      <c r="F270" s="3">
        <v>60</v>
      </c>
      <c r="G270" s="3">
        <v>12.33</v>
      </c>
      <c r="H270" s="3">
        <v>170.33</v>
      </c>
      <c r="I270" s="3">
        <v>11</v>
      </c>
      <c r="J270" s="3" t="s">
        <v>48</v>
      </c>
      <c r="K270" s="3">
        <v>0</v>
      </c>
      <c r="L270" s="3">
        <v>0</v>
      </c>
      <c r="M270" s="3">
        <v>57</v>
      </c>
      <c r="N270" s="3" t="s">
        <v>89</v>
      </c>
      <c r="O270" s="3" t="s">
        <v>43</v>
      </c>
      <c r="P270" s="3" t="s">
        <v>44</v>
      </c>
      <c r="Q270" s="3">
        <v>16</v>
      </c>
      <c r="R270" s="3">
        <v>86745</v>
      </c>
      <c r="S270" s="3">
        <v>742</v>
      </c>
      <c r="T270" s="3" t="s">
        <v>29</v>
      </c>
      <c r="U270" s="3">
        <v>0</v>
      </c>
      <c r="V270" s="3">
        <v>625</v>
      </c>
      <c r="W270" s="5" t="str">
        <f t="shared" si="16"/>
        <v>700-749</v>
      </c>
      <c r="X270" s="5" t="str">
        <f t="shared" si="17"/>
        <v>Low (&lt;=35%)</v>
      </c>
      <c r="Y270" s="5" t="str">
        <f t="shared" si="18"/>
        <v>Employed</v>
      </c>
      <c r="Z270" s="3" t="str">
        <f t="shared" si="19"/>
        <v>Debt &amp; Assets</v>
      </c>
    </row>
    <row r="271" spans="1:26" ht="17.399999999999999" x14ac:dyDescent="0.35">
      <c r="A271" s="3" t="s">
        <v>569</v>
      </c>
      <c r="B271" s="3" t="s">
        <v>570</v>
      </c>
      <c r="C271" s="4">
        <v>45639</v>
      </c>
      <c r="D271" s="3" t="s">
        <v>24</v>
      </c>
      <c r="E271" s="3">
        <v>13100</v>
      </c>
      <c r="F271" s="3">
        <v>24</v>
      </c>
      <c r="G271" s="3">
        <v>13.44</v>
      </c>
      <c r="H271" s="3">
        <v>625.51</v>
      </c>
      <c r="I271" s="3">
        <v>53.4</v>
      </c>
      <c r="J271" s="3" t="s">
        <v>99</v>
      </c>
      <c r="K271" s="3">
        <v>15</v>
      </c>
      <c r="L271" s="3">
        <v>0</v>
      </c>
      <c r="M271" s="3">
        <v>49</v>
      </c>
      <c r="N271" s="3" t="s">
        <v>393</v>
      </c>
      <c r="O271" s="3" t="s">
        <v>79</v>
      </c>
      <c r="P271" s="3" t="s">
        <v>37</v>
      </c>
      <c r="Q271" s="3">
        <v>29</v>
      </c>
      <c r="R271" s="3">
        <v>75328</v>
      </c>
      <c r="S271" s="3">
        <v>570</v>
      </c>
      <c r="T271" s="3" t="s">
        <v>45</v>
      </c>
      <c r="U271" s="3">
        <v>1</v>
      </c>
      <c r="V271" s="3">
        <v>2727</v>
      </c>
      <c r="W271" s="5" t="str">
        <f t="shared" si="16"/>
        <v>520-599</v>
      </c>
      <c r="X271" s="5" t="str">
        <f t="shared" si="17"/>
        <v>High (51-75%)</v>
      </c>
      <c r="Y271" s="5" t="str">
        <f t="shared" si="18"/>
        <v>Employed</v>
      </c>
      <c r="Z271" s="3" t="str">
        <f t="shared" si="19"/>
        <v>Consumer &amp; Personal</v>
      </c>
    </row>
    <row r="272" spans="1:26" ht="17.399999999999999" x14ac:dyDescent="0.35">
      <c r="A272" s="3" t="s">
        <v>571</v>
      </c>
      <c r="B272" s="3" t="s">
        <v>572</v>
      </c>
      <c r="C272" s="4">
        <v>45660</v>
      </c>
      <c r="D272" s="3" t="s">
        <v>41</v>
      </c>
      <c r="E272" s="3">
        <v>20700</v>
      </c>
      <c r="F272" s="3">
        <v>48</v>
      </c>
      <c r="G272" s="3">
        <v>12</v>
      </c>
      <c r="H272" s="3">
        <v>545.11</v>
      </c>
      <c r="I272" s="3">
        <v>19.8</v>
      </c>
      <c r="J272" s="3" t="s">
        <v>25</v>
      </c>
      <c r="K272" s="3">
        <v>0</v>
      </c>
      <c r="L272" s="3">
        <v>0</v>
      </c>
      <c r="M272" s="3">
        <v>63</v>
      </c>
      <c r="N272" s="3" t="s">
        <v>71</v>
      </c>
      <c r="O272" s="3" t="s">
        <v>58</v>
      </c>
      <c r="P272" s="3" t="s">
        <v>73</v>
      </c>
      <c r="Q272" s="3">
        <v>28</v>
      </c>
      <c r="R272" s="3">
        <v>60734</v>
      </c>
      <c r="S272" s="3">
        <v>730</v>
      </c>
      <c r="T272" s="3" t="s">
        <v>29</v>
      </c>
      <c r="U272" s="3">
        <v>1</v>
      </c>
      <c r="V272" s="3">
        <v>456</v>
      </c>
      <c r="W272" s="5" t="str">
        <f t="shared" si="16"/>
        <v>700-749</v>
      </c>
      <c r="X272" s="5" t="str">
        <f t="shared" si="17"/>
        <v>Low (&lt;=35%)</v>
      </c>
      <c r="Y272" s="5" t="str">
        <f t="shared" si="18"/>
        <v>Employed</v>
      </c>
      <c r="Z272" s="3" t="str">
        <f t="shared" si="19"/>
        <v>Debt &amp; Assets</v>
      </c>
    </row>
    <row r="273" spans="1:26" ht="17.399999999999999" x14ac:dyDescent="0.35">
      <c r="A273" s="3" t="s">
        <v>573</v>
      </c>
      <c r="B273" s="3" t="s">
        <v>574</v>
      </c>
      <c r="C273" s="4">
        <v>45496</v>
      </c>
      <c r="D273" s="3" t="s">
        <v>41</v>
      </c>
      <c r="E273" s="3">
        <v>6100</v>
      </c>
      <c r="F273" s="3">
        <v>48</v>
      </c>
      <c r="G273" s="3">
        <v>10.48</v>
      </c>
      <c r="H273" s="3">
        <v>156.12</v>
      </c>
      <c r="I273" s="3">
        <v>42.8</v>
      </c>
      <c r="J273" s="3" t="s">
        <v>32</v>
      </c>
      <c r="K273" s="3">
        <v>155</v>
      </c>
      <c r="L273" s="3">
        <v>1</v>
      </c>
      <c r="M273" s="3">
        <v>64</v>
      </c>
      <c r="N273" s="3" t="s">
        <v>78</v>
      </c>
      <c r="O273" s="3" t="s">
        <v>72</v>
      </c>
      <c r="P273" s="3" t="s">
        <v>37</v>
      </c>
      <c r="Q273" s="3">
        <v>11</v>
      </c>
      <c r="R273" s="3">
        <v>128412</v>
      </c>
      <c r="S273" s="3">
        <v>610</v>
      </c>
      <c r="T273" s="3" t="s">
        <v>29</v>
      </c>
      <c r="U273" s="3">
        <v>1</v>
      </c>
      <c r="V273" s="3">
        <v>4429</v>
      </c>
      <c r="W273" s="5" t="str">
        <f t="shared" si="16"/>
        <v>600-649</v>
      </c>
      <c r="X273" s="5" t="str">
        <f t="shared" si="17"/>
        <v>Manageable (36-50%)</v>
      </c>
      <c r="Y273" s="5" t="str">
        <f t="shared" si="18"/>
        <v>Employed</v>
      </c>
      <c r="Z273" s="3" t="str">
        <f t="shared" si="19"/>
        <v>Debt &amp; Assets</v>
      </c>
    </row>
    <row r="274" spans="1:26" ht="17.399999999999999" x14ac:dyDescent="0.35">
      <c r="A274" s="3" t="s">
        <v>575</v>
      </c>
      <c r="B274" s="3" t="s">
        <v>576</v>
      </c>
      <c r="C274" s="4">
        <v>45340</v>
      </c>
      <c r="D274" s="3" t="s">
        <v>31</v>
      </c>
      <c r="E274" s="3">
        <v>25700</v>
      </c>
      <c r="F274" s="3">
        <v>24</v>
      </c>
      <c r="G274" s="3">
        <v>7.93</v>
      </c>
      <c r="H274" s="3">
        <v>1161.52</v>
      </c>
      <c r="I274" s="3">
        <v>38.1</v>
      </c>
      <c r="J274" s="3" t="s">
        <v>48</v>
      </c>
      <c r="K274" s="3">
        <v>0</v>
      </c>
      <c r="L274" s="3">
        <v>0</v>
      </c>
      <c r="M274" s="3">
        <v>36</v>
      </c>
      <c r="N274" s="3" t="s">
        <v>57</v>
      </c>
      <c r="O274" s="3" t="s">
        <v>72</v>
      </c>
      <c r="P274" s="3" t="s">
        <v>28</v>
      </c>
      <c r="Q274" s="3">
        <v>13</v>
      </c>
      <c r="R274" s="3">
        <v>138554</v>
      </c>
      <c r="S274" s="3">
        <v>787</v>
      </c>
      <c r="T274" s="3" t="s">
        <v>45</v>
      </c>
      <c r="U274" s="3">
        <v>0</v>
      </c>
      <c r="V274" s="3">
        <v>3236</v>
      </c>
      <c r="W274" s="5" t="str">
        <f t="shared" si="16"/>
        <v>750+</v>
      </c>
      <c r="X274" s="5" t="str">
        <f t="shared" si="17"/>
        <v>Manageable (36-50%)</v>
      </c>
      <c r="Y274" s="5" t="str">
        <f t="shared" si="18"/>
        <v>Self-Employed</v>
      </c>
      <c r="Z274" s="3" t="str">
        <f t="shared" si="19"/>
        <v>Debt &amp; Assets</v>
      </c>
    </row>
    <row r="275" spans="1:26" ht="17.399999999999999" x14ac:dyDescent="0.35">
      <c r="A275" s="3" t="s">
        <v>577</v>
      </c>
      <c r="B275" s="3" t="s">
        <v>578</v>
      </c>
      <c r="C275" s="4">
        <v>45637</v>
      </c>
      <c r="D275" s="3" t="s">
        <v>56</v>
      </c>
      <c r="E275" s="3">
        <v>43900</v>
      </c>
      <c r="F275" s="3">
        <v>12</v>
      </c>
      <c r="G275" s="3">
        <v>14.33</v>
      </c>
      <c r="H275" s="3">
        <v>3948.47</v>
      </c>
      <c r="I275" s="3">
        <v>177.4</v>
      </c>
      <c r="J275" s="3" t="s">
        <v>32</v>
      </c>
      <c r="K275" s="3">
        <v>88</v>
      </c>
      <c r="L275" s="3">
        <v>1</v>
      </c>
      <c r="M275" s="3">
        <v>31</v>
      </c>
      <c r="N275" s="3" t="s">
        <v>102</v>
      </c>
      <c r="O275" s="3" t="s">
        <v>79</v>
      </c>
      <c r="P275" s="3" t="s">
        <v>85</v>
      </c>
      <c r="Q275" s="3">
        <v>0</v>
      </c>
      <c r="R275" s="3">
        <v>37737</v>
      </c>
      <c r="S275" s="3">
        <v>582</v>
      </c>
      <c r="T275" s="3" t="s">
        <v>29</v>
      </c>
      <c r="U275" s="3">
        <v>2</v>
      </c>
      <c r="V275" s="3">
        <v>1629</v>
      </c>
      <c r="W275" s="5" t="str">
        <f t="shared" si="16"/>
        <v>520-599</v>
      </c>
      <c r="X275" s="5" t="str">
        <f t="shared" si="17"/>
        <v>Critical (&gt;75%)</v>
      </c>
      <c r="Y275" s="5" t="str">
        <f t="shared" si="18"/>
        <v>Retired</v>
      </c>
      <c r="Z275" s="3" t="str">
        <f t="shared" si="19"/>
        <v>Consumer &amp; Personal</v>
      </c>
    </row>
    <row r="276" spans="1:26" ht="17.399999999999999" x14ac:dyDescent="0.35">
      <c r="A276" s="3" t="s">
        <v>579</v>
      </c>
      <c r="B276" s="3" t="s">
        <v>580</v>
      </c>
      <c r="C276" s="4">
        <v>45565</v>
      </c>
      <c r="D276" s="3" t="s">
        <v>64</v>
      </c>
      <c r="E276" s="3">
        <v>49700</v>
      </c>
      <c r="F276" s="3">
        <v>36</v>
      </c>
      <c r="G276" s="3">
        <v>11.21</v>
      </c>
      <c r="H276" s="3">
        <v>1632.06</v>
      </c>
      <c r="I276" s="3">
        <v>51.2</v>
      </c>
      <c r="J276" s="3" t="s">
        <v>99</v>
      </c>
      <c r="K276" s="3">
        <v>15</v>
      </c>
      <c r="L276" s="3">
        <v>0</v>
      </c>
      <c r="M276" s="3">
        <v>23</v>
      </c>
      <c r="N276" s="3" t="s">
        <v>49</v>
      </c>
      <c r="O276" s="3" t="s">
        <v>79</v>
      </c>
      <c r="P276" s="3" t="s">
        <v>37</v>
      </c>
      <c r="Q276" s="3">
        <v>0</v>
      </c>
      <c r="R276" s="3">
        <v>56840</v>
      </c>
      <c r="S276" s="3">
        <v>758</v>
      </c>
      <c r="T276" s="3" t="s">
        <v>38</v>
      </c>
      <c r="U276" s="3">
        <v>1</v>
      </c>
      <c r="V276" s="3">
        <v>791</v>
      </c>
      <c r="W276" s="5" t="str">
        <f t="shared" si="16"/>
        <v>750+</v>
      </c>
      <c r="X276" s="5" t="str">
        <f t="shared" si="17"/>
        <v>High (51-75%)</v>
      </c>
      <c r="Y276" s="5" t="str">
        <f t="shared" si="18"/>
        <v>Employed</v>
      </c>
      <c r="Z276" s="3" t="str">
        <f t="shared" si="19"/>
        <v>Investment &amp; Growth</v>
      </c>
    </row>
    <row r="277" spans="1:26" ht="17.399999999999999" x14ac:dyDescent="0.35">
      <c r="A277" s="3" t="s">
        <v>581</v>
      </c>
      <c r="B277" s="3" t="s">
        <v>582</v>
      </c>
      <c r="C277" s="4">
        <v>45405</v>
      </c>
      <c r="D277" s="3" t="s">
        <v>61</v>
      </c>
      <c r="E277" s="3">
        <v>46500</v>
      </c>
      <c r="F277" s="3">
        <v>48</v>
      </c>
      <c r="G277" s="3">
        <v>12.61</v>
      </c>
      <c r="H277" s="3">
        <v>1238.5</v>
      </c>
      <c r="I277" s="3">
        <v>56.2</v>
      </c>
      <c r="J277" s="3" t="s">
        <v>99</v>
      </c>
      <c r="K277" s="3">
        <v>0</v>
      </c>
      <c r="L277" s="3">
        <v>0</v>
      </c>
      <c r="M277" s="3">
        <v>35</v>
      </c>
      <c r="N277" s="3" t="s">
        <v>89</v>
      </c>
      <c r="O277" s="3" t="s">
        <v>72</v>
      </c>
      <c r="P277" s="3" t="s">
        <v>28</v>
      </c>
      <c r="Q277" s="3">
        <v>7</v>
      </c>
      <c r="R277" s="3">
        <v>66623</v>
      </c>
      <c r="S277" s="3">
        <v>683</v>
      </c>
      <c r="T277" s="3" t="s">
        <v>29</v>
      </c>
      <c r="U277" s="3">
        <v>2</v>
      </c>
      <c r="V277" s="3">
        <v>1880</v>
      </c>
      <c r="W277" s="5" t="str">
        <f t="shared" si="16"/>
        <v>650-699</v>
      </c>
      <c r="X277" s="5" t="str">
        <f t="shared" si="17"/>
        <v>High (51-75%)</v>
      </c>
      <c r="Y277" s="5" t="str">
        <f t="shared" si="18"/>
        <v>Self-Employed</v>
      </c>
      <c r="Z277" s="3" t="str">
        <f t="shared" si="19"/>
        <v>Investment &amp; Growth</v>
      </c>
    </row>
    <row r="278" spans="1:26" ht="17.399999999999999" x14ac:dyDescent="0.35">
      <c r="A278" s="3" t="s">
        <v>583</v>
      </c>
      <c r="B278" s="3" t="s">
        <v>584</v>
      </c>
      <c r="C278" s="4">
        <v>45412</v>
      </c>
      <c r="D278" s="3" t="s">
        <v>61</v>
      </c>
      <c r="E278" s="3">
        <v>4000</v>
      </c>
      <c r="F278" s="3">
        <v>12</v>
      </c>
      <c r="G278" s="3">
        <v>7.24</v>
      </c>
      <c r="H278" s="3">
        <v>346.55</v>
      </c>
      <c r="I278" s="3">
        <v>55.6</v>
      </c>
      <c r="J278" s="3" t="s">
        <v>99</v>
      </c>
      <c r="K278" s="3">
        <v>15</v>
      </c>
      <c r="L278" s="3">
        <v>0</v>
      </c>
      <c r="M278" s="3">
        <v>65</v>
      </c>
      <c r="N278" s="3" t="s">
        <v>42</v>
      </c>
      <c r="O278" s="3" t="s">
        <v>72</v>
      </c>
      <c r="P278" s="3" t="s">
        <v>37</v>
      </c>
      <c r="Q278" s="3">
        <v>14</v>
      </c>
      <c r="R278" s="3">
        <v>129782</v>
      </c>
      <c r="S278" s="3">
        <v>816</v>
      </c>
      <c r="T278" s="3" t="s">
        <v>45</v>
      </c>
      <c r="U278" s="3">
        <v>0</v>
      </c>
      <c r="V278" s="3">
        <v>5669</v>
      </c>
      <c r="W278" s="5" t="str">
        <f t="shared" si="16"/>
        <v>750+</v>
      </c>
      <c r="X278" s="5" t="str">
        <f t="shared" si="17"/>
        <v>High (51-75%)</v>
      </c>
      <c r="Y278" s="5" t="str">
        <f t="shared" si="18"/>
        <v>Employed</v>
      </c>
      <c r="Z278" s="3" t="str">
        <f t="shared" si="19"/>
        <v>Investment &amp; Growth</v>
      </c>
    </row>
    <row r="279" spans="1:26" ht="17.399999999999999" x14ac:dyDescent="0.35">
      <c r="A279" s="3" t="s">
        <v>585</v>
      </c>
      <c r="B279" s="3" t="s">
        <v>584</v>
      </c>
      <c r="C279" s="4">
        <v>45393</v>
      </c>
      <c r="D279" s="3" t="s">
        <v>41</v>
      </c>
      <c r="E279" s="3">
        <v>38600</v>
      </c>
      <c r="F279" s="3">
        <v>48</v>
      </c>
      <c r="G279" s="3">
        <v>10.06</v>
      </c>
      <c r="H279" s="3">
        <v>980.11</v>
      </c>
      <c r="I279" s="3">
        <v>61.5</v>
      </c>
      <c r="J279" s="3" t="s">
        <v>32</v>
      </c>
      <c r="K279" s="3">
        <v>123</v>
      </c>
      <c r="L279" s="3">
        <v>1</v>
      </c>
      <c r="M279" s="3">
        <v>65</v>
      </c>
      <c r="N279" s="3" t="s">
        <v>42</v>
      </c>
      <c r="O279" s="3" t="s">
        <v>72</v>
      </c>
      <c r="P279" s="3" t="s">
        <v>37</v>
      </c>
      <c r="Q279" s="3">
        <v>14</v>
      </c>
      <c r="R279" s="3">
        <v>129782</v>
      </c>
      <c r="S279" s="3">
        <v>816</v>
      </c>
      <c r="T279" s="3" t="s">
        <v>45</v>
      </c>
      <c r="U279" s="3">
        <v>0</v>
      </c>
      <c r="V279" s="3">
        <v>5669</v>
      </c>
      <c r="W279" s="5" t="str">
        <f t="shared" si="16"/>
        <v>750+</v>
      </c>
      <c r="X279" s="5" t="str">
        <f t="shared" si="17"/>
        <v>High (51-75%)</v>
      </c>
      <c r="Y279" s="5" t="str">
        <f t="shared" si="18"/>
        <v>Employed</v>
      </c>
      <c r="Z279" s="3" t="str">
        <f t="shared" si="19"/>
        <v>Debt &amp; Assets</v>
      </c>
    </row>
    <row r="280" spans="1:26" ht="17.399999999999999" x14ac:dyDescent="0.35">
      <c r="A280" s="3" t="s">
        <v>586</v>
      </c>
      <c r="B280" s="3" t="s">
        <v>587</v>
      </c>
      <c r="C280" s="4">
        <v>45298</v>
      </c>
      <c r="D280" s="3" t="s">
        <v>56</v>
      </c>
      <c r="E280" s="3">
        <v>8100</v>
      </c>
      <c r="F280" s="3">
        <v>48</v>
      </c>
      <c r="G280" s="3">
        <v>12</v>
      </c>
      <c r="H280" s="3">
        <v>213.3</v>
      </c>
      <c r="I280" s="3">
        <v>43.4</v>
      </c>
      <c r="J280" s="3" t="s">
        <v>48</v>
      </c>
      <c r="K280" s="3">
        <v>0</v>
      </c>
      <c r="L280" s="3">
        <v>0</v>
      </c>
      <c r="M280" s="3">
        <v>33</v>
      </c>
      <c r="N280" s="3" t="s">
        <v>68</v>
      </c>
      <c r="O280" s="3" t="s">
        <v>43</v>
      </c>
      <c r="P280" s="3" t="s">
        <v>37</v>
      </c>
      <c r="Q280" s="3">
        <v>10</v>
      </c>
      <c r="R280" s="3">
        <v>72220</v>
      </c>
      <c r="S280" s="3">
        <v>711</v>
      </c>
      <c r="T280" s="3" t="s">
        <v>29</v>
      </c>
      <c r="U280" s="3">
        <v>1</v>
      </c>
      <c r="V280" s="3">
        <v>2396</v>
      </c>
      <c r="W280" s="5" t="str">
        <f t="shared" si="16"/>
        <v>700-749</v>
      </c>
      <c r="X280" s="5" t="str">
        <f t="shared" si="17"/>
        <v>Manageable (36-50%)</v>
      </c>
      <c r="Y280" s="5" t="str">
        <f t="shared" si="18"/>
        <v>Employed</v>
      </c>
      <c r="Z280" s="3" t="str">
        <f t="shared" si="19"/>
        <v>Consumer &amp; Personal</v>
      </c>
    </row>
    <row r="281" spans="1:26" ht="17.399999999999999" x14ac:dyDescent="0.35">
      <c r="A281" s="3" t="s">
        <v>588</v>
      </c>
      <c r="B281" s="3" t="s">
        <v>589</v>
      </c>
      <c r="C281" s="4">
        <v>45543</v>
      </c>
      <c r="D281" s="3" t="s">
        <v>61</v>
      </c>
      <c r="E281" s="3">
        <v>22300</v>
      </c>
      <c r="F281" s="3">
        <v>48</v>
      </c>
      <c r="G281" s="3">
        <v>8.94</v>
      </c>
      <c r="H281" s="3">
        <v>554.29999999999995</v>
      </c>
      <c r="I281" s="3">
        <v>25.8</v>
      </c>
      <c r="J281" s="3" t="s">
        <v>48</v>
      </c>
      <c r="K281" s="3">
        <v>0</v>
      </c>
      <c r="L281" s="3">
        <v>0</v>
      </c>
      <c r="M281" s="3">
        <v>48</v>
      </c>
      <c r="N281" s="3" t="s">
        <v>393</v>
      </c>
      <c r="O281" s="3" t="s">
        <v>27</v>
      </c>
      <c r="P281" s="3" t="s">
        <v>37</v>
      </c>
      <c r="Q281" s="3">
        <v>7</v>
      </c>
      <c r="R281" s="3">
        <v>48955</v>
      </c>
      <c r="S281" s="3">
        <v>772</v>
      </c>
      <c r="T281" s="3" t="s">
        <v>29</v>
      </c>
      <c r="U281" s="3">
        <v>3</v>
      </c>
      <c r="V281" s="3">
        <v>498</v>
      </c>
      <c r="W281" s="5" t="str">
        <f t="shared" si="16"/>
        <v>750+</v>
      </c>
      <c r="X281" s="5" t="str">
        <f t="shared" si="17"/>
        <v>Low (&lt;=35%)</v>
      </c>
      <c r="Y281" s="5" t="str">
        <f t="shared" si="18"/>
        <v>Employed</v>
      </c>
      <c r="Z281" s="3" t="str">
        <f t="shared" si="19"/>
        <v>Investment &amp; Growth</v>
      </c>
    </row>
    <row r="282" spans="1:26" ht="17.399999999999999" x14ac:dyDescent="0.35">
      <c r="A282" s="3" t="s">
        <v>590</v>
      </c>
      <c r="B282" s="3" t="s">
        <v>591</v>
      </c>
      <c r="C282" s="4">
        <v>45820</v>
      </c>
      <c r="D282" s="3" t="s">
        <v>31</v>
      </c>
      <c r="E282" s="3">
        <v>21600</v>
      </c>
      <c r="F282" s="3">
        <v>48</v>
      </c>
      <c r="G282" s="3">
        <v>11.09</v>
      </c>
      <c r="H282" s="3">
        <v>559.21</v>
      </c>
      <c r="I282" s="3">
        <v>46.2</v>
      </c>
      <c r="J282" s="3" t="s">
        <v>48</v>
      </c>
      <c r="K282" s="3">
        <v>0</v>
      </c>
      <c r="L282" s="3">
        <v>0</v>
      </c>
      <c r="M282" s="3">
        <v>51</v>
      </c>
      <c r="N282" s="3" t="s">
        <v>42</v>
      </c>
      <c r="O282" s="3" t="s">
        <v>72</v>
      </c>
      <c r="P282" s="3" t="s">
        <v>73</v>
      </c>
      <c r="Q282" s="3">
        <v>8</v>
      </c>
      <c r="R282" s="3">
        <v>75699</v>
      </c>
      <c r="S282" s="3">
        <v>820</v>
      </c>
      <c r="T282" s="3" t="s">
        <v>45</v>
      </c>
      <c r="U282" s="3">
        <v>0</v>
      </c>
      <c r="V282" s="3">
        <v>2355</v>
      </c>
      <c r="W282" s="5" t="str">
        <f t="shared" si="16"/>
        <v>750+</v>
      </c>
      <c r="X282" s="5" t="str">
        <f t="shared" si="17"/>
        <v>Manageable (36-50%)</v>
      </c>
      <c r="Y282" s="5" t="str">
        <f t="shared" si="18"/>
        <v>Employed</v>
      </c>
      <c r="Z282" s="3" t="str">
        <f t="shared" si="19"/>
        <v>Debt &amp; Assets</v>
      </c>
    </row>
    <row r="283" spans="1:26" ht="17.399999999999999" x14ac:dyDescent="0.35">
      <c r="A283" s="3" t="s">
        <v>592</v>
      </c>
      <c r="B283" s="3" t="s">
        <v>593</v>
      </c>
      <c r="C283" s="4">
        <v>45614</v>
      </c>
      <c r="D283" s="3" t="s">
        <v>67</v>
      </c>
      <c r="E283" s="3">
        <v>26800</v>
      </c>
      <c r="F283" s="3">
        <v>12</v>
      </c>
      <c r="G283" s="3">
        <v>9.7200000000000006</v>
      </c>
      <c r="H283" s="3">
        <v>2352.66</v>
      </c>
      <c r="I283" s="3">
        <v>31.1</v>
      </c>
      <c r="J283" s="3" t="s">
        <v>48</v>
      </c>
      <c r="K283" s="3">
        <v>0</v>
      </c>
      <c r="L283" s="3">
        <v>0</v>
      </c>
      <c r="M283" s="3">
        <v>50</v>
      </c>
      <c r="N283" s="3" t="s">
        <v>135</v>
      </c>
      <c r="O283" s="3" t="s">
        <v>72</v>
      </c>
      <c r="P283" s="3" t="s">
        <v>37</v>
      </c>
      <c r="Q283" s="3">
        <v>1</v>
      </c>
      <c r="R283" s="3">
        <v>116769</v>
      </c>
      <c r="S283" s="3">
        <v>642</v>
      </c>
      <c r="T283" s="3" t="s">
        <v>45</v>
      </c>
      <c r="U283" s="3">
        <v>2</v>
      </c>
      <c r="V283" s="3">
        <v>678</v>
      </c>
      <c r="W283" s="5" t="str">
        <f t="shared" si="16"/>
        <v>600-649</v>
      </c>
      <c r="X283" s="5" t="str">
        <f t="shared" si="17"/>
        <v>Low (&lt;=35%)</v>
      </c>
      <c r="Y283" s="5" t="str">
        <f t="shared" si="18"/>
        <v>Employed</v>
      </c>
      <c r="Z283" s="3" t="str">
        <f t="shared" si="19"/>
        <v>Debt &amp; Assets</v>
      </c>
    </row>
    <row r="284" spans="1:26" ht="17.399999999999999" x14ac:dyDescent="0.35">
      <c r="A284" s="3" t="s">
        <v>594</v>
      </c>
      <c r="B284" s="3" t="s">
        <v>595</v>
      </c>
      <c r="C284" s="4">
        <v>45824</v>
      </c>
      <c r="D284" s="3" t="s">
        <v>67</v>
      </c>
      <c r="E284" s="3">
        <v>32800</v>
      </c>
      <c r="F284" s="3">
        <v>60</v>
      </c>
      <c r="G284" s="3">
        <v>6.69</v>
      </c>
      <c r="H284" s="3">
        <v>644.69000000000005</v>
      </c>
      <c r="I284" s="3">
        <v>36.299999999999997</v>
      </c>
      <c r="J284" s="3" t="s">
        <v>25</v>
      </c>
      <c r="K284" s="3">
        <v>0</v>
      </c>
      <c r="L284" s="3">
        <v>0</v>
      </c>
      <c r="M284" s="3">
        <v>26</v>
      </c>
      <c r="N284" s="3" t="s">
        <v>340</v>
      </c>
      <c r="O284" s="3" t="s">
        <v>27</v>
      </c>
      <c r="P284" s="3" t="s">
        <v>28</v>
      </c>
      <c r="Q284" s="3">
        <v>1</v>
      </c>
      <c r="R284" s="3">
        <v>47895</v>
      </c>
      <c r="S284" s="3">
        <v>816</v>
      </c>
      <c r="T284" s="3" t="s">
        <v>45</v>
      </c>
      <c r="U284" s="3">
        <v>3</v>
      </c>
      <c r="V284" s="3">
        <v>804</v>
      </c>
      <c r="W284" s="5" t="str">
        <f t="shared" si="16"/>
        <v>750+</v>
      </c>
      <c r="X284" s="5" t="str">
        <f t="shared" si="17"/>
        <v>Manageable (36-50%)</v>
      </c>
      <c r="Y284" s="5" t="str">
        <f t="shared" si="18"/>
        <v>Self-Employed</v>
      </c>
      <c r="Z284" s="3" t="str">
        <f t="shared" si="19"/>
        <v>Debt &amp; Assets</v>
      </c>
    </row>
    <row r="285" spans="1:26" ht="17.399999999999999" x14ac:dyDescent="0.35">
      <c r="A285" s="3" t="s">
        <v>596</v>
      </c>
      <c r="B285" s="3" t="s">
        <v>597</v>
      </c>
      <c r="C285" s="4">
        <v>45578</v>
      </c>
      <c r="D285" s="3" t="s">
        <v>41</v>
      </c>
      <c r="E285" s="3">
        <v>17100</v>
      </c>
      <c r="F285" s="3">
        <v>36</v>
      </c>
      <c r="G285" s="3">
        <v>7.04</v>
      </c>
      <c r="H285" s="3">
        <v>528.30999999999995</v>
      </c>
      <c r="I285" s="3">
        <v>60.7</v>
      </c>
      <c r="J285" s="3" t="s">
        <v>48</v>
      </c>
      <c r="K285" s="3">
        <v>0</v>
      </c>
      <c r="L285" s="3">
        <v>0</v>
      </c>
      <c r="M285" s="3">
        <v>22</v>
      </c>
      <c r="N285" s="3" t="s">
        <v>172</v>
      </c>
      <c r="O285" s="3" t="s">
        <v>79</v>
      </c>
      <c r="P285" s="3" t="s">
        <v>37</v>
      </c>
      <c r="Q285" s="3">
        <v>0</v>
      </c>
      <c r="R285" s="3">
        <v>63656</v>
      </c>
      <c r="S285" s="3">
        <v>780</v>
      </c>
      <c r="T285" s="3" t="s">
        <v>29</v>
      </c>
      <c r="U285" s="3">
        <v>0</v>
      </c>
      <c r="V285" s="3">
        <v>2692</v>
      </c>
      <c r="W285" s="5" t="str">
        <f t="shared" si="16"/>
        <v>750+</v>
      </c>
      <c r="X285" s="5" t="str">
        <f t="shared" si="17"/>
        <v>High (51-75%)</v>
      </c>
      <c r="Y285" s="5" t="str">
        <f t="shared" si="18"/>
        <v>Employed</v>
      </c>
      <c r="Z285" s="3" t="str">
        <f t="shared" si="19"/>
        <v>Debt &amp; Assets</v>
      </c>
    </row>
    <row r="286" spans="1:26" ht="17.399999999999999" x14ac:dyDescent="0.35">
      <c r="A286" s="3" t="s">
        <v>598</v>
      </c>
      <c r="B286" s="3" t="s">
        <v>599</v>
      </c>
      <c r="C286" s="4">
        <v>45645</v>
      </c>
      <c r="D286" s="3" t="s">
        <v>64</v>
      </c>
      <c r="E286" s="3">
        <v>32000</v>
      </c>
      <c r="F286" s="3">
        <v>60</v>
      </c>
      <c r="G286" s="3">
        <v>11.38</v>
      </c>
      <c r="H286" s="3">
        <v>701.84</v>
      </c>
      <c r="I286" s="3">
        <v>44.8</v>
      </c>
      <c r="J286" s="3" t="s">
        <v>48</v>
      </c>
      <c r="K286" s="3">
        <v>0</v>
      </c>
      <c r="L286" s="3">
        <v>0</v>
      </c>
      <c r="M286" s="3">
        <v>57</v>
      </c>
      <c r="N286" s="3" t="s">
        <v>93</v>
      </c>
      <c r="O286" s="3" t="s">
        <v>79</v>
      </c>
      <c r="P286" s="3" t="s">
        <v>37</v>
      </c>
      <c r="Q286" s="3">
        <v>19</v>
      </c>
      <c r="R286" s="3">
        <v>50940</v>
      </c>
      <c r="S286" s="3">
        <v>713</v>
      </c>
      <c r="T286" s="3" t="s">
        <v>45</v>
      </c>
      <c r="U286" s="3">
        <v>3</v>
      </c>
      <c r="V286" s="3">
        <v>1201</v>
      </c>
      <c r="W286" s="5" t="str">
        <f t="shared" si="16"/>
        <v>700-749</v>
      </c>
      <c r="X286" s="5" t="str">
        <f t="shared" si="17"/>
        <v>Manageable (36-50%)</v>
      </c>
      <c r="Y286" s="5" t="str">
        <f t="shared" si="18"/>
        <v>Employed</v>
      </c>
      <c r="Z286" s="3" t="str">
        <f t="shared" si="19"/>
        <v>Investment &amp; Growth</v>
      </c>
    </row>
    <row r="287" spans="1:26" ht="17.399999999999999" x14ac:dyDescent="0.35">
      <c r="A287" s="3" t="s">
        <v>600</v>
      </c>
      <c r="B287" s="3" t="s">
        <v>601</v>
      </c>
      <c r="C287" s="4">
        <v>45421</v>
      </c>
      <c r="D287" s="3" t="s">
        <v>41</v>
      </c>
      <c r="E287" s="3">
        <v>22300</v>
      </c>
      <c r="F287" s="3">
        <v>48</v>
      </c>
      <c r="G287" s="3">
        <v>11.48</v>
      </c>
      <c r="H287" s="3">
        <v>581.57000000000005</v>
      </c>
      <c r="I287" s="3">
        <v>49.1</v>
      </c>
      <c r="J287" s="3" t="s">
        <v>48</v>
      </c>
      <c r="K287" s="3">
        <v>0</v>
      </c>
      <c r="L287" s="3">
        <v>0</v>
      </c>
      <c r="M287" s="3">
        <v>68</v>
      </c>
      <c r="N287" s="3" t="s">
        <v>167</v>
      </c>
      <c r="O287" s="3" t="s">
        <v>43</v>
      </c>
      <c r="P287" s="3" t="s">
        <v>44</v>
      </c>
      <c r="Q287" s="3">
        <v>20</v>
      </c>
      <c r="R287" s="3">
        <v>98934</v>
      </c>
      <c r="S287" s="3">
        <v>729</v>
      </c>
      <c r="T287" s="3" t="s">
        <v>45</v>
      </c>
      <c r="U287" s="3">
        <v>3</v>
      </c>
      <c r="V287" s="3">
        <v>3467</v>
      </c>
      <c r="W287" s="5" t="str">
        <f t="shared" si="16"/>
        <v>700-749</v>
      </c>
      <c r="X287" s="5" t="str">
        <f t="shared" si="17"/>
        <v>Manageable (36-50%)</v>
      </c>
      <c r="Y287" s="5" t="str">
        <f t="shared" si="18"/>
        <v>Employed</v>
      </c>
      <c r="Z287" s="3" t="str">
        <f t="shared" si="19"/>
        <v>Debt &amp; Assets</v>
      </c>
    </row>
    <row r="288" spans="1:26" ht="17.399999999999999" x14ac:dyDescent="0.35">
      <c r="A288" s="3" t="s">
        <v>602</v>
      </c>
      <c r="B288" s="3" t="s">
        <v>603</v>
      </c>
      <c r="C288" s="4">
        <v>45556</v>
      </c>
      <c r="D288" s="3" t="s">
        <v>41</v>
      </c>
      <c r="E288" s="3">
        <v>24100</v>
      </c>
      <c r="F288" s="3">
        <v>24</v>
      </c>
      <c r="G288" s="3">
        <v>7.82</v>
      </c>
      <c r="H288" s="3">
        <v>1088</v>
      </c>
      <c r="I288" s="3">
        <v>72.2</v>
      </c>
      <c r="J288" s="3" t="s">
        <v>25</v>
      </c>
      <c r="K288" s="3">
        <v>0</v>
      </c>
      <c r="L288" s="3">
        <v>0</v>
      </c>
      <c r="M288" s="3">
        <v>23</v>
      </c>
      <c r="N288" s="3" t="s">
        <v>128</v>
      </c>
      <c r="O288" s="3" t="s">
        <v>79</v>
      </c>
      <c r="P288" s="3" t="s">
        <v>85</v>
      </c>
      <c r="Q288" s="3">
        <v>2</v>
      </c>
      <c r="R288" s="3">
        <v>33693</v>
      </c>
      <c r="S288" s="3">
        <v>738</v>
      </c>
      <c r="T288" s="3" t="s">
        <v>38</v>
      </c>
      <c r="U288" s="3">
        <v>0</v>
      </c>
      <c r="V288" s="3">
        <v>940</v>
      </c>
      <c r="W288" s="5" t="str">
        <f t="shared" si="16"/>
        <v>700-749</v>
      </c>
      <c r="X288" s="5" t="str">
        <f t="shared" si="17"/>
        <v>High (51-75%)</v>
      </c>
      <c r="Y288" s="5" t="str">
        <f t="shared" si="18"/>
        <v>Retired</v>
      </c>
      <c r="Z288" s="3" t="str">
        <f t="shared" si="19"/>
        <v>Debt &amp; Assets</v>
      </c>
    </row>
    <row r="289" spans="1:26" ht="17.399999999999999" x14ac:dyDescent="0.35">
      <c r="A289" s="3" t="s">
        <v>604</v>
      </c>
      <c r="B289" s="3" t="s">
        <v>605</v>
      </c>
      <c r="C289" s="4">
        <v>45654</v>
      </c>
      <c r="D289" s="3" t="s">
        <v>61</v>
      </c>
      <c r="E289" s="3">
        <v>42400</v>
      </c>
      <c r="F289" s="3">
        <v>36</v>
      </c>
      <c r="G289" s="3">
        <v>11.95</v>
      </c>
      <c r="H289" s="3">
        <v>1407.27</v>
      </c>
      <c r="I289" s="3">
        <v>48.1</v>
      </c>
      <c r="J289" s="3" t="s">
        <v>32</v>
      </c>
      <c r="K289" s="3">
        <v>61</v>
      </c>
      <c r="L289" s="3">
        <v>1</v>
      </c>
      <c r="M289" s="3">
        <v>37</v>
      </c>
      <c r="N289" s="3" t="s">
        <v>36</v>
      </c>
      <c r="O289" s="3" t="s">
        <v>43</v>
      </c>
      <c r="P289" s="3" t="s">
        <v>28</v>
      </c>
      <c r="Q289" s="3">
        <v>15</v>
      </c>
      <c r="R289" s="3">
        <v>84293</v>
      </c>
      <c r="S289" s="3">
        <v>671</v>
      </c>
      <c r="T289" s="3" t="s">
        <v>29</v>
      </c>
      <c r="U289" s="3">
        <v>2</v>
      </c>
      <c r="V289" s="3">
        <v>1969</v>
      </c>
      <c r="W289" s="5" t="str">
        <f t="shared" si="16"/>
        <v>650-699</v>
      </c>
      <c r="X289" s="5" t="str">
        <f t="shared" si="17"/>
        <v>Manageable (36-50%)</v>
      </c>
      <c r="Y289" s="5" t="str">
        <f t="shared" si="18"/>
        <v>Self-Employed</v>
      </c>
      <c r="Z289" s="3" t="str">
        <f t="shared" si="19"/>
        <v>Investment &amp; Growth</v>
      </c>
    </row>
    <row r="290" spans="1:26" ht="17.399999999999999" x14ac:dyDescent="0.35">
      <c r="A290" s="3" t="s">
        <v>606</v>
      </c>
      <c r="B290" s="3" t="s">
        <v>605</v>
      </c>
      <c r="C290" s="4">
        <v>45533</v>
      </c>
      <c r="D290" s="3" t="s">
        <v>24</v>
      </c>
      <c r="E290" s="3">
        <v>37400</v>
      </c>
      <c r="F290" s="3">
        <v>48</v>
      </c>
      <c r="G290" s="3">
        <v>10.51</v>
      </c>
      <c r="H290" s="3">
        <v>957.75</v>
      </c>
      <c r="I290" s="3">
        <v>41.7</v>
      </c>
      <c r="J290" s="3" t="s">
        <v>99</v>
      </c>
      <c r="K290" s="3">
        <v>30</v>
      </c>
      <c r="L290" s="3">
        <v>0</v>
      </c>
      <c r="M290" s="3">
        <v>37</v>
      </c>
      <c r="N290" s="3" t="s">
        <v>36</v>
      </c>
      <c r="O290" s="3" t="s">
        <v>43</v>
      </c>
      <c r="P290" s="3" t="s">
        <v>28</v>
      </c>
      <c r="Q290" s="3">
        <v>15</v>
      </c>
      <c r="R290" s="3">
        <v>84293</v>
      </c>
      <c r="S290" s="3">
        <v>671</v>
      </c>
      <c r="T290" s="3" t="s">
        <v>29</v>
      </c>
      <c r="U290" s="3">
        <v>2</v>
      </c>
      <c r="V290" s="3">
        <v>1969</v>
      </c>
      <c r="W290" s="5" t="str">
        <f t="shared" si="16"/>
        <v>650-699</v>
      </c>
      <c r="X290" s="5" t="str">
        <f t="shared" si="17"/>
        <v>Manageable (36-50%)</v>
      </c>
      <c r="Y290" s="5" t="str">
        <f t="shared" si="18"/>
        <v>Self-Employed</v>
      </c>
      <c r="Z290" s="3" t="str">
        <f t="shared" si="19"/>
        <v>Consumer &amp; Personal</v>
      </c>
    </row>
    <row r="291" spans="1:26" ht="17.399999999999999" x14ac:dyDescent="0.35">
      <c r="A291" s="3" t="s">
        <v>607</v>
      </c>
      <c r="B291" s="3" t="s">
        <v>608</v>
      </c>
      <c r="C291" s="4">
        <v>45435</v>
      </c>
      <c r="D291" s="3" t="s">
        <v>35</v>
      </c>
      <c r="E291" s="3">
        <v>13200</v>
      </c>
      <c r="F291" s="3">
        <v>36</v>
      </c>
      <c r="G291" s="3">
        <v>8.17</v>
      </c>
      <c r="H291" s="3">
        <v>414.68</v>
      </c>
      <c r="I291" s="3">
        <v>57.1</v>
      </c>
      <c r="J291" s="3" t="s">
        <v>48</v>
      </c>
      <c r="K291" s="3">
        <v>0</v>
      </c>
      <c r="L291" s="3">
        <v>0</v>
      </c>
      <c r="M291" s="3">
        <v>68</v>
      </c>
      <c r="N291" s="3" t="s">
        <v>119</v>
      </c>
      <c r="O291" s="3" t="s">
        <v>72</v>
      </c>
      <c r="P291" s="3" t="s">
        <v>37</v>
      </c>
      <c r="Q291" s="3">
        <v>11</v>
      </c>
      <c r="R291" s="3">
        <v>116402</v>
      </c>
      <c r="S291" s="3">
        <v>795</v>
      </c>
      <c r="T291" s="3" t="s">
        <v>29</v>
      </c>
      <c r="U291" s="3">
        <v>4</v>
      </c>
      <c r="V291" s="3">
        <v>5127</v>
      </c>
      <c r="W291" s="5" t="str">
        <f t="shared" si="16"/>
        <v>750+</v>
      </c>
      <c r="X291" s="5" t="str">
        <f t="shared" si="17"/>
        <v>High (51-75%)</v>
      </c>
      <c r="Y291" s="5" t="str">
        <f t="shared" si="18"/>
        <v>Employed</v>
      </c>
      <c r="Z291" s="3" t="str">
        <f t="shared" si="19"/>
        <v>Consumer &amp; Personal</v>
      </c>
    </row>
    <row r="292" spans="1:26" ht="17.399999999999999" x14ac:dyDescent="0.35">
      <c r="A292" s="3" t="s">
        <v>609</v>
      </c>
      <c r="B292" s="3" t="s">
        <v>608</v>
      </c>
      <c r="C292" s="4">
        <v>45442</v>
      </c>
      <c r="D292" s="3" t="s">
        <v>52</v>
      </c>
      <c r="E292" s="3">
        <v>11200</v>
      </c>
      <c r="F292" s="3">
        <v>36</v>
      </c>
      <c r="G292" s="3">
        <v>9.02</v>
      </c>
      <c r="H292" s="3">
        <v>356.26</v>
      </c>
      <c r="I292" s="3">
        <v>56.5</v>
      </c>
      <c r="J292" s="3" t="s">
        <v>48</v>
      </c>
      <c r="K292" s="3">
        <v>0</v>
      </c>
      <c r="L292" s="3">
        <v>0</v>
      </c>
      <c r="M292" s="3">
        <v>68</v>
      </c>
      <c r="N292" s="3" t="s">
        <v>119</v>
      </c>
      <c r="O292" s="3" t="s">
        <v>72</v>
      </c>
      <c r="P292" s="3" t="s">
        <v>37</v>
      </c>
      <c r="Q292" s="3">
        <v>11</v>
      </c>
      <c r="R292" s="3">
        <v>116402</v>
      </c>
      <c r="S292" s="3">
        <v>795</v>
      </c>
      <c r="T292" s="3" t="s">
        <v>29</v>
      </c>
      <c r="U292" s="3">
        <v>4</v>
      </c>
      <c r="V292" s="3">
        <v>5127</v>
      </c>
      <c r="W292" s="5" t="str">
        <f t="shared" si="16"/>
        <v>750+</v>
      </c>
      <c r="X292" s="5" t="str">
        <f t="shared" si="17"/>
        <v>High (51-75%)</v>
      </c>
      <c r="Y292" s="5" t="str">
        <f t="shared" si="18"/>
        <v>Employed</v>
      </c>
      <c r="Z292" s="3" t="str">
        <f t="shared" si="19"/>
        <v>Investment &amp; Growth</v>
      </c>
    </row>
    <row r="293" spans="1:26" ht="17.399999999999999" x14ac:dyDescent="0.35">
      <c r="A293" s="3" t="s">
        <v>610</v>
      </c>
      <c r="B293" s="3" t="s">
        <v>611</v>
      </c>
      <c r="C293" s="4">
        <v>45704</v>
      </c>
      <c r="D293" s="3" t="s">
        <v>56</v>
      </c>
      <c r="E293" s="3">
        <v>22800</v>
      </c>
      <c r="F293" s="3">
        <v>36</v>
      </c>
      <c r="G293" s="3">
        <v>14.15</v>
      </c>
      <c r="H293" s="3">
        <v>780.91</v>
      </c>
      <c r="I293" s="3">
        <v>25.2</v>
      </c>
      <c r="J293" s="3" t="s">
        <v>48</v>
      </c>
      <c r="K293" s="3">
        <v>0</v>
      </c>
      <c r="L293" s="3">
        <v>0</v>
      </c>
      <c r="M293" s="3">
        <v>55</v>
      </c>
      <c r="N293" s="3" t="s">
        <v>57</v>
      </c>
      <c r="O293" s="3" t="s">
        <v>27</v>
      </c>
      <c r="P293" s="3" t="s">
        <v>44</v>
      </c>
      <c r="Q293" s="3">
        <v>0</v>
      </c>
      <c r="R293" s="3">
        <v>55670</v>
      </c>
      <c r="S293" s="3">
        <v>554</v>
      </c>
      <c r="T293" s="3" t="s">
        <v>45</v>
      </c>
      <c r="U293" s="3">
        <v>2</v>
      </c>
      <c r="V293" s="3">
        <v>389</v>
      </c>
      <c r="W293" s="5" t="str">
        <f t="shared" si="16"/>
        <v>520-599</v>
      </c>
      <c r="X293" s="5" t="str">
        <f t="shared" si="17"/>
        <v>Low (&lt;=35%)</v>
      </c>
      <c r="Y293" s="5" t="str">
        <f t="shared" si="18"/>
        <v>Employed</v>
      </c>
      <c r="Z293" s="3" t="str">
        <f t="shared" si="19"/>
        <v>Consumer &amp; Personal</v>
      </c>
    </row>
    <row r="294" spans="1:26" ht="17.399999999999999" x14ac:dyDescent="0.35">
      <c r="A294" s="3" t="s">
        <v>612</v>
      </c>
      <c r="B294" s="3" t="s">
        <v>613</v>
      </c>
      <c r="C294" s="4">
        <v>45718</v>
      </c>
      <c r="D294" s="3" t="s">
        <v>24</v>
      </c>
      <c r="E294" s="3">
        <v>37700</v>
      </c>
      <c r="F294" s="3">
        <v>48</v>
      </c>
      <c r="G294" s="3">
        <v>9.64</v>
      </c>
      <c r="H294" s="3">
        <v>949.66</v>
      </c>
      <c r="I294" s="3">
        <v>70</v>
      </c>
      <c r="J294" s="3" t="s">
        <v>48</v>
      </c>
      <c r="K294" s="3">
        <v>0</v>
      </c>
      <c r="L294" s="3">
        <v>0</v>
      </c>
      <c r="M294" s="3">
        <v>31</v>
      </c>
      <c r="N294" s="3" t="s">
        <v>262</v>
      </c>
      <c r="O294" s="3" t="s">
        <v>27</v>
      </c>
      <c r="P294" s="3" t="s">
        <v>37</v>
      </c>
      <c r="Q294" s="3">
        <v>10</v>
      </c>
      <c r="R294" s="3">
        <v>35536</v>
      </c>
      <c r="S294" s="3">
        <v>841</v>
      </c>
      <c r="T294" s="3" t="s">
        <v>29</v>
      </c>
      <c r="U294" s="3">
        <v>3</v>
      </c>
      <c r="V294" s="3">
        <v>1124</v>
      </c>
      <c r="W294" s="5" t="str">
        <f t="shared" si="16"/>
        <v>750+</v>
      </c>
      <c r="X294" s="5" t="str">
        <f t="shared" si="17"/>
        <v>High (51-75%)</v>
      </c>
      <c r="Y294" s="5" t="str">
        <f t="shared" si="18"/>
        <v>Employed</v>
      </c>
      <c r="Z294" s="3" t="str">
        <f t="shared" si="19"/>
        <v>Consumer &amp; Personal</v>
      </c>
    </row>
    <row r="295" spans="1:26" ht="17.399999999999999" x14ac:dyDescent="0.35">
      <c r="A295" s="3" t="s">
        <v>614</v>
      </c>
      <c r="B295" s="3" t="s">
        <v>615</v>
      </c>
      <c r="C295" s="4">
        <v>45509</v>
      </c>
      <c r="D295" s="3" t="s">
        <v>56</v>
      </c>
      <c r="E295" s="3">
        <v>10400</v>
      </c>
      <c r="F295" s="3">
        <v>60</v>
      </c>
      <c r="G295" s="3">
        <v>7.41</v>
      </c>
      <c r="H295" s="3">
        <v>207.95</v>
      </c>
      <c r="I295" s="3">
        <v>65.5</v>
      </c>
      <c r="J295" s="3" t="s">
        <v>48</v>
      </c>
      <c r="K295" s="3">
        <v>0</v>
      </c>
      <c r="L295" s="3">
        <v>0</v>
      </c>
      <c r="M295" s="3">
        <v>23</v>
      </c>
      <c r="N295" s="3" t="s">
        <v>393</v>
      </c>
      <c r="O295" s="3" t="s">
        <v>27</v>
      </c>
      <c r="P295" s="3" t="s">
        <v>73</v>
      </c>
      <c r="Q295" s="3">
        <v>2</v>
      </c>
      <c r="R295" s="3">
        <v>12549</v>
      </c>
      <c r="S295" s="3">
        <v>791</v>
      </c>
      <c r="T295" s="3" t="s">
        <v>45</v>
      </c>
      <c r="U295" s="3">
        <v>0</v>
      </c>
      <c r="V295" s="3">
        <v>477</v>
      </c>
      <c r="W295" s="5" t="str">
        <f t="shared" si="16"/>
        <v>750+</v>
      </c>
      <c r="X295" s="5" t="str">
        <f t="shared" si="17"/>
        <v>High (51-75%)</v>
      </c>
      <c r="Y295" s="5" t="str">
        <f t="shared" si="18"/>
        <v>Employed</v>
      </c>
      <c r="Z295" s="3" t="str">
        <f t="shared" si="19"/>
        <v>Consumer &amp; Personal</v>
      </c>
    </row>
    <row r="296" spans="1:26" ht="17.399999999999999" x14ac:dyDescent="0.35">
      <c r="A296" s="3" t="s">
        <v>616</v>
      </c>
      <c r="B296" s="3" t="s">
        <v>617</v>
      </c>
      <c r="C296" s="4">
        <v>45588</v>
      </c>
      <c r="D296" s="3" t="s">
        <v>61</v>
      </c>
      <c r="E296" s="3">
        <v>14200</v>
      </c>
      <c r="F296" s="3">
        <v>12</v>
      </c>
      <c r="G296" s="3">
        <v>12.28</v>
      </c>
      <c r="H296" s="3">
        <v>1263.51</v>
      </c>
      <c r="I296" s="3">
        <v>66.2</v>
      </c>
      <c r="J296" s="3" t="s">
        <v>32</v>
      </c>
      <c r="K296" s="3">
        <v>69</v>
      </c>
      <c r="L296" s="3">
        <v>1</v>
      </c>
      <c r="M296" s="3">
        <v>65</v>
      </c>
      <c r="N296" s="3" t="s">
        <v>115</v>
      </c>
      <c r="O296" s="3" t="s">
        <v>43</v>
      </c>
      <c r="P296" s="3" t="s">
        <v>85</v>
      </c>
      <c r="Q296" s="3">
        <v>33</v>
      </c>
      <c r="R296" s="3">
        <v>31222</v>
      </c>
      <c r="S296" s="3">
        <v>574</v>
      </c>
      <c r="T296" s="3" t="s">
        <v>38</v>
      </c>
      <c r="U296" s="3">
        <v>2</v>
      </c>
      <c r="V296" s="3">
        <v>458</v>
      </c>
      <c r="W296" s="5" t="str">
        <f t="shared" si="16"/>
        <v>520-599</v>
      </c>
      <c r="X296" s="5" t="str">
        <f t="shared" si="17"/>
        <v>High (51-75%)</v>
      </c>
      <c r="Y296" s="5" t="str">
        <f t="shared" si="18"/>
        <v>Retired</v>
      </c>
      <c r="Z296" s="3" t="str">
        <f t="shared" si="19"/>
        <v>Investment &amp; Growth</v>
      </c>
    </row>
    <row r="297" spans="1:26" ht="17.399999999999999" x14ac:dyDescent="0.35">
      <c r="A297" s="3" t="s">
        <v>618</v>
      </c>
      <c r="B297" s="3" t="s">
        <v>619</v>
      </c>
      <c r="C297" s="4">
        <v>45438</v>
      </c>
      <c r="D297" s="3" t="s">
        <v>41</v>
      </c>
      <c r="E297" s="3">
        <v>16600</v>
      </c>
      <c r="F297" s="3">
        <v>48</v>
      </c>
      <c r="G297" s="3">
        <v>7.86</v>
      </c>
      <c r="H297" s="3">
        <v>404.16</v>
      </c>
      <c r="I297" s="3">
        <v>49.6</v>
      </c>
      <c r="J297" s="3" t="s">
        <v>48</v>
      </c>
      <c r="K297" s="3">
        <v>0</v>
      </c>
      <c r="L297" s="3">
        <v>0</v>
      </c>
      <c r="M297" s="3">
        <v>44</v>
      </c>
      <c r="N297" s="3" t="s">
        <v>172</v>
      </c>
      <c r="O297" s="3" t="s">
        <v>79</v>
      </c>
      <c r="P297" s="3" t="s">
        <v>37</v>
      </c>
      <c r="Q297" s="3">
        <v>14</v>
      </c>
      <c r="R297" s="3">
        <v>46634</v>
      </c>
      <c r="S297" s="3">
        <v>737</v>
      </c>
      <c r="T297" s="3" t="s">
        <v>45</v>
      </c>
      <c r="U297" s="3">
        <v>0</v>
      </c>
      <c r="V297" s="3">
        <v>1523</v>
      </c>
      <c r="W297" s="5" t="str">
        <f t="shared" si="16"/>
        <v>700-749</v>
      </c>
      <c r="X297" s="5" t="str">
        <f t="shared" si="17"/>
        <v>Manageable (36-50%)</v>
      </c>
      <c r="Y297" s="5" t="str">
        <f t="shared" si="18"/>
        <v>Employed</v>
      </c>
      <c r="Z297" s="3" t="str">
        <f t="shared" si="19"/>
        <v>Debt &amp; Assets</v>
      </c>
    </row>
    <row r="298" spans="1:26" ht="17.399999999999999" x14ac:dyDescent="0.35">
      <c r="A298" s="3" t="s">
        <v>620</v>
      </c>
      <c r="B298" s="3" t="s">
        <v>621</v>
      </c>
      <c r="C298" s="4">
        <v>45649</v>
      </c>
      <c r="D298" s="3" t="s">
        <v>41</v>
      </c>
      <c r="E298" s="3">
        <v>41100</v>
      </c>
      <c r="F298" s="3">
        <v>48</v>
      </c>
      <c r="G298" s="3">
        <v>10.23</v>
      </c>
      <c r="H298" s="3">
        <v>1046.95</v>
      </c>
      <c r="I298" s="3">
        <v>50.9</v>
      </c>
      <c r="J298" s="3" t="s">
        <v>32</v>
      </c>
      <c r="K298" s="3">
        <v>41</v>
      </c>
      <c r="L298" s="3">
        <v>1</v>
      </c>
      <c r="M298" s="3">
        <v>27</v>
      </c>
      <c r="N298" s="3" t="s">
        <v>119</v>
      </c>
      <c r="O298" s="3" t="s">
        <v>43</v>
      </c>
      <c r="P298" s="3" t="s">
        <v>44</v>
      </c>
      <c r="Q298" s="3">
        <v>6</v>
      </c>
      <c r="R298" s="3">
        <v>89061</v>
      </c>
      <c r="S298" s="3">
        <v>587</v>
      </c>
      <c r="T298" s="3" t="s">
        <v>45</v>
      </c>
      <c r="U298" s="3">
        <v>1</v>
      </c>
      <c r="V298" s="3">
        <v>2733</v>
      </c>
      <c r="W298" s="5" t="str">
        <f t="shared" si="16"/>
        <v>520-599</v>
      </c>
      <c r="X298" s="5" t="str">
        <f t="shared" si="17"/>
        <v>High (51-75%)</v>
      </c>
      <c r="Y298" s="5" t="str">
        <f t="shared" si="18"/>
        <v>Employed</v>
      </c>
      <c r="Z298" s="3" t="str">
        <f t="shared" si="19"/>
        <v>Debt &amp; Assets</v>
      </c>
    </row>
    <row r="299" spans="1:26" ht="17.399999999999999" x14ac:dyDescent="0.35">
      <c r="A299" s="3" t="s">
        <v>622</v>
      </c>
      <c r="B299" s="3" t="s">
        <v>621</v>
      </c>
      <c r="C299" s="4">
        <v>45678</v>
      </c>
      <c r="D299" s="3" t="s">
        <v>31</v>
      </c>
      <c r="E299" s="3">
        <v>16900</v>
      </c>
      <c r="F299" s="3">
        <v>48</v>
      </c>
      <c r="G299" s="3">
        <v>14.72</v>
      </c>
      <c r="H299" s="3">
        <v>467.94</v>
      </c>
      <c r="I299" s="3">
        <v>43.1</v>
      </c>
      <c r="J299" s="3" t="s">
        <v>99</v>
      </c>
      <c r="K299" s="3">
        <v>0</v>
      </c>
      <c r="L299" s="3">
        <v>0</v>
      </c>
      <c r="M299" s="3">
        <v>27</v>
      </c>
      <c r="N299" s="3" t="s">
        <v>119</v>
      </c>
      <c r="O299" s="3" t="s">
        <v>43</v>
      </c>
      <c r="P299" s="3" t="s">
        <v>44</v>
      </c>
      <c r="Q299" s="3">
        <v>6</v>
      </c>
      <c r="R299" s="3">
        <v>89061</v>
      </c>
      <c r="S299" s="3">
        <v>587</v>
      </c>
      <c r="T299" s="3" t="s">
        <v>45</v>
      </c>
      <c r="U299" s="3">
        <v>1</v>
      </c>
      <c r="V299" s="3">
        <v>2733</v>
      </c>
      <c r="W299" s="5" t="str">
        <f t="shared" si="16"/>
        <v>520-599</v>
      </c>
      <c r="X299" s="5" t="str">
        <f t="shared" si="17"/>
        <v>Manageable (36-50%)</v>
      </c>
      <c r="Y299" s="5" t="str">
        <f t="shared" si="18"/>
        <v>Employed</v>
      </c>
      <c r="Z299" s="3" t="str">
        <f t="shared" si="19"/>
        <v>Debt &amp; Assets</v>
      </c>
    </row>
    <row r="300" spans="1:26" ht="17.399999999999999" x14ac:dyDescent="0.35">
      <c r="A300" s="3" t="s">
        <v>623</v>
      </c>
      <c r="B300" s="3" t="s">
        <v>624</v>
      </c>
      <c r="C300" s="4">
        <v>45625</v>
      </c>
      <c r="D300" s="3" t="s">
        <v>35</v>
      </c>
      <c r="E300" s="3">
        <v>31000</v>
      </c>
      <c r="F300" s="3">
        <v>48</v>
      </c>
      <c r="G300" s="3">
        <v>9.18</v>
      </c>
      <c r="H300" s="3">
        <v>774.09</v>
      </c>
      <c r="I300" s="3">
        <v>40.200000000000003</v>
      </c>
      <c r="J300" s="3" t="s">
        <v>32</v>
      </c>
      <c r="K300" s="3">
        <v>134</v>
      </c>
      <c r="L300" s="3">
        <v>1</v>
      </c>
      <c r="M300" s="3">
        <v>66</v>
      </c>
      <c r="N300" s="3" t="s">
        <v>71</v>
      </c>
      <c r="O300" s="3" t="s">
        <v>27</v>
      </c>
      <c r="P300" s="3" t="s">
        <v>37</v>
      </c>
      <c r="Q300" s="3">
        <v>6</v>
      </c>
      <c r="R300" s="3">
        <v>37673</v>
      </c>
      <c r="S300" s="3">
        <v>694</v>
      </c>
      <c r="T300" s="3" t="s">
        <v>29</v>
      </c>
      <c r="U300" s="3">
        <v>0</v>
      </c>
      <c r="V300" s="3">
        <v>488</v>
      </c>
      <c r="W300" s="5" t="str">
        <f t="shared" si="16"/>
        <v>650-699</v>
      </c>
      <c r="X300" s="5" t="str">
        <f t="shared" si="17"/>
        <v>Manageable (36-50%)</v>
      </c>
      <c r="Y300" s="5" t="str">
        <f t="shared" si="18"/>
        <v>Employed</v>
      </c>
      <c r="Z300" s="3" t="str">
        <f t="shared" si="19"/>
        <v>Consumer &amp; Personal</v>
      </c>
    </row>
    <row r="301" spans="1:26" ht="17.399999999999999" x14ac:dyDescent="0.35">
      <c r="A301" s="3" t="s">
        <v>625</v>
      </c>
      <c r="B301" s="3" t="s">
        <v>626</v>
      </c>
      <c r="C301" s="4">
        <v>45382</v>
      </c>
      <c r="D301" s="3" t="s">
        <v>31</v>
      </c>
      <c r="E301" s="3">
        <v>3800</v>
      </c>
      <c r="F301" s="3">
        <v>48</v>
      </c>
      <c r="G301" s="3">
        <v>14.21</v>
      </c>
      <c r="H301" s="3">
        <v>104.24</v>
      </c>
      <c r="I301" s="3">
        <v>16.100000000000001</v>
      </c>
      <c r="J301" s="3" t="s">
        <v>48</v>
      </c>
      <c r="K301" s="3">
        <v>0</v>
      </c>
      <c r="L301" s="3">
        <v>0</v>
      </c>
      <c r="M301" s="3">
        <v>66</v>
      </c>
      <c r="N301" s="3" t="s">
        <v>167</v>
      </c>
      <c r="O301" s="3" t="s">
        <v>72</v>
      </c>
      <c r="P301" s="3" t="s">
        <v>37</v>
      </c>
      <c r="Q301" s="3">
        <v>17</v>
      </c>
      <c r="R301" s="3">
        <v>58595</v>
      </c>
      <c r="S301" s="3">
        <v>568</v>
      </c>
      <c r="T301" s="3" t="s">
        <v>29</v>
      </c>
      <c r="U301" s="3">
        <v>2</v>
      </c>
      <c r="V301" s="3">
        <v>682</v>
      </c>
      <c r="W301" s="5" t="str">
        <f t="shared" si="16"/>
        <v>520-599</v>
      </c>
      <c r="X301" s="5" t="str">
        <f t="shared" si="17"/>
        <v>Low (&lt;=35%)</v>
      </c>
      <c r="Y301" s="5" t="str">
        <f t="shared" si="18"/>
        <v>Employed</v>
      </c>
      <c r="Z301" s="3" t="str">
        <f t="shared" si="19"/>
        <v>Debt &amp; Assets</v>
      </c>
    </row>
    <row r="302" spans="1:26" ht="17.399999999999999" x14ac:dyDescent="0.35">
      <c r="A302" s="3" t="s">
        <v>627</v>
      </c>
      <c r="B302" s="3" t="s">
        <v>628</v>
      </c>
      <c r="C302" s="4">
        <v>45346</v>
      </c>
      <c r="D302" s="3" t="s">
        <v>41</v>
      </c>
      <c r="E302" s="3">
        <v>5100</v>
      </c>
      <c r="F302" s="3">
        <v>60</v>
      </c>
      <c r="G302" s="3">
        <v>8.2899999999999991</v>
      </c>
      <c r="H302" s="3">
        <v>104.12</v>
      </c>
      <c r="I302" s="3">
        <v>51.2</v>
      </c>
      <c r="J302" s="3" t="s">
        <v>25</v>
      </c>
      <c r="K302" s="3">
        <v>0</v>
      </c>
      <c r="L302" s="3">
        <v>0</v>
      </c>
      <c r="M302" s="3">
        <v>42</v>
      </c>
      <c r="N302" s="3" t="s">
        <v>167</v>
      </c>
      <c r="O302" s="3" t="s">
        <v>27</v>
      </c>
      <c r="P302" s="3" t="s">
        <v>37</v>
      </c>
      <c r="Q302" s="3">
        <v>2</v>
      </c>
      <c r="R302" s="3">
        <v>27475</v>
      </c>
      <c r="S302" s="3">
        <v>728</v>
      </c>
      <c r="T302" s="3" t="s">
        <v>45</v>
      </c>
      <c r="U302" s="3">
        <v>0</v>
      </c>
      <c r="V302" s="3">
        <v>1069</v>
      </c>
      <c r="W302" s="5" t="str">
        <f t="shared" si="16"/>
        <v>700-749</v>
      </c>
      <c r="X302" s="5" t="str">
        <f t="shared" si="17"/>
        <v>High (51-75%)</v>
      </c>
      <c r="Y302" s="5" t="str">
        <f t="shared" si="18"/>
        <v>Employed</v>
      </c>
      <c r="Z302" s="3" t="str">
        <f t="shared" si="19"/>
        <v>Debt &amp; Assets</v>
      </c>
    </row>
    <row r="303" spans="1:26" ht="17.399999999999999" x14ac:dyDescent="0.35">
      <c r="A303" s="3" t="s">
        <v>629</v>
      </c>
      <c r="B303" s="3" t="s">
        <v>630</v>
      </c>
      <c r="C303" s="4">
        <v>45573</v>
      </c>
      <c r="D303" s="3" t="s">
        <v>67</v>
      </c>
      <c r="E303" s="3">
        <v>27200</v>
      </c>
      <c r="F303" s="3">
        <v>24</v>
      </c>
      <c r="G303" s="3">
        <v>14.71</v>
      </c>
      <c r="H303" s="3">
        <v>1315.09</v>
      </c>
      <c r="I303" s="3">
        <v>66.5</v>
      </c>
      <c r="J303" s="3" t="s">
        <v>25</v>
      </c>
      <c r="K303" s="3">
        <v>0</v>
      </c>
      <c r="L303" s="3">
        <v>0</v>
      </c>
      <c r="M303" s="3">
        <v>46</v>
      </c>
      <c r="N303" s="3" t="s">
        <v>89</v>
      </c>
      <c r="O303" s="3" t="s">
        <v>43</v>
      </c>
      <c r="P303" s="3" t="s">
        <v>37</v>
      </c>
      <c r="Q303" s="3">
        <v>25</v>
      </c>
      <c r="R303" s="3">
        <v>65089</v>
      </c>
      <c r="S303" s="3">
        <v>606</v>
      </c>
      <c r="T303" s="3" t="s">
        <v>29</v>
      </c>
      <c r="U303" s="3">
        <v>0</v>
      </c>
      <c r="V303" s="3">
        <v>2292</v>
      </c>
      <c r="W303" s="5" t="str">
        <f t="shared" si="16"/>
        <v>600-649</v>
      </c>
      <c r="X303" s="5" t="str">
        <f t="shared" si="17"/>
        <v>High (51-75%)</v>
      </c>
      <c r="Y303" s="5" t="str">
        <f t="shared" si="18"/>
        <v>Employed</v>
      </c>
      <c r="Z303" s="3" t="str">
        <f t="shared" si="19"/>
        <v>Debt &amp; Assets</v>
      </c>
    </row>
    <row r="304" spans="1:26" ht="17.399999999999999" x14ac:dyDescent="0.35">
      <c r="A304" s="3" t="s">
        <v>631</v>
      </c>
      <c r="B304" s="3" t="s">
        <v>632</v>
      </c>
      <c r="C304" s="4">
        <v>45338</v>
      </c>
      <c r="D304" s="3" t="s">
        <v>24</v>
      </c>
      <c r="E304" s="3">
        <v>12100</v>
      </c>
      <c r="F304" s="3">
        <v>36</v>
      </c>
      <c r="G304" s="3">
        <v>10.28</v>
      </c>
      <c r="H304" s="3">
        <v>392.03</v>
      </c>
      <c r="I304" s="3">
        <v>52.7</v>
      </c>
      <c r="J304" s="3" t="s">
        <v>99</v>
      </c>
      <c r="K304" s="3">
        <v>15</v>
      </c>
      <c r="L304" s="3">
        <v>0</v>
      </c>
      <c r="M304" s="3">
        <v>44</v>
      </c>
      <c r="N304" s="3" t="s">
        <v>262</v>
      </c>
      <c r="O304" s="3" t="s">
        <v>27</v>
      </c>
      <c r="P304" s="3" t="s">
        <v>37</v>
      </c>
      <c r="Q304" s="3">
        <v>19</v>
      </c>
      <c r="R304" s="3">
        <v>51921</v>
      </c>
      <c r="S304" s="3">
        <v>704</v>
      </c>
      <c r="T304" s="3" t="s">
        <v>29</v>
      </c>
      <c r="U304" s="3">
        <v>1</v>
      </c>
      <c r="V304" s="3">
        <v>1889</v>
      </c>
      <c r="W304" s="5" t="str">
        <f t="shared" si="16"/>
        <v>700-749</v>
      </c>
      <c r="X304" s="5" t="str">
        <f t="shared" si="17"/>
        <v>High (51-75%)</v>
      </c>
      <c r="Y304" s="5" t="str">
        <f t="shared" si="18"/>
        <v>Employed</v>
      </c>
      <c r="Z304" s="3" t="str">
        <f t="shared" si="19"/>
        <v>Consumer &amp; Personal</v>
      </c>
    </row>
    <row r="305" spans="1:26" ht="17.399999999999999" x14ac:dyDescent="0.35">
      <c r="A305" s="3" t="s">
        <v>633</v>
      </c>
      <c r="B305" s="3" t="s">
        <v>632</v>
      </c>
      <c r="C305" s="4">
        <v>45385</v>
      </c>
      <c r="D305" s="3" t="s">
        <v>56</v>
      </c>
      <c r="E305" s="3">
        <v>35900</v>
      </c>
      <c r="F305" s="3">
        <v>36</v>
      </c>
      <c r="G305" s="3">
        <v>10.18</v>
      </c>
      <c r="H305" s="3">
        <v>1161.43</v>
      </c>
      <c r="I305" s="3">
        <v>70.5</v>
      </c>
      <c r="J305" s="3" t="s">
        <v>32</v>
      </c>
      <c r="K305" s="3">
        <v>55</v>
      </c>
      <c r="L305" s="3">
        <v>1</v>
      </c>
      <c r="M305" s="3">
        <v>44</v>
      </c>
      <c r="N305" s="3" t="s">
        <v>262</v>
      </c>
      <c r="O305" s="3" t="s">
        <v>27</v>
      </c>
      <c r="P305" s="3" t="s">
        <v>37</v>
      </c>
      <c r="Q305" s="3">
        <v>19</v>
      </c>
      <c r="R305" s="3">
        <v>51921</v>
      </c>
      <c r="S305" s="3">
        <v>704</v>
      </c>
      <c r="T305" s="3" t="s">
        <v>29</v>
      </c>
      <c r="U305" s="3">
        <v>1</v>
      </c>
      <c r="V305" s="3">
        <v>1889</v>
      </c>
      <c r="W305" s="5" t="str">
        <f t="shared" si="16"/>
        <v>700-749</v>
      </c>
      <c r="X305" s="5" t="str">
        <f t="shared" si="17"/>
        <v>High (51-75%)</v>
      </c>
      <c r="Y305" s="5" t="str">
        <f t="shared" si="18"/>
        <v>Employed</v>
      </c>
      <c r="Z305" s="3" t="str">
        <f t="shared" si="19"/>
        <v>Consumer &amp; Personal</v>
      </c>
    </row>
    <row r="306" spans="1:26" ht="17.399999999999999" x14ac:dyDescent="0.35">
      <c r="A306" s="3" t="s">
        <v>634</v>
      </c>
      <c r="B306" s="3" t="s">
        <v>635</v>
      </c>
      <c r="C306" s="4">
        <v>45709</v>
      </c>
      <c r="D306" s="3" t="s">
        <v>41</v>
      </c>
      <c r="E306" s="3">
        <v>9900</v>
      </c>
      <c r="F306" s="3">
        <v>12</v>
      </c>
      <c r="G306" s="3">
        <v>9.92</v>
      </c>
      <c r="H306" s="3">
        <v>870</v>
      </c>
      <c r="I306" s="3">
        <v>54</v>
      </c>
      <c r="J306" s="3" t="s">
        <v>25</v>
      </c>
      <c r="K306" s="3">
        <v>0</v>
      </c>
      <c r="L306" s="3">
        <v>0</v>
      </c>
      <c r="M306" s="3">
        <v>23</v>
      </c>
      <c r="N306" s="3" t="s">
        <v>78</v>
      </c>
      <c r="O306" s="3" t="s">
        <v>43</v>
      </c>
      <c r="P306" s="3" t="s">
        <v>28</v>
      </c>
      <c r="Q306" s="3">
        <v>2</v>
      </c>
      <c r="R306" s="3">
        <v>69345</v>
      </c>
      <c r="S306" s="3">
        <v>651</v>
      </c>
      <c r="T306" s="3" t="s">
        <v>45</v>
      </c>
      <c r="U306" s="3">
        <v>1</v>
      </c>
      <c r="V306" s="3">
        <v>2252</v>
      </c>
      <c r="W306" s="5" t="str">
        <f t="shared" si="16"/>
        <v>650-699</v>
      </c>
      <c r="X306" s="5" t="str">
        <f t="shared" si="17"/>
        <v>High (51-75%)</v>
      </c>
      <c r="Y306" s="5" t="str">
        <f t="shared" si="18"/>
        <v>Self-Employed</v>
      </c>
      <c r="Z306" s="3" t="str">
        <f t="shared" si="19"/>
        <v>Debt &amp; Assets</v>
      </c>
    </row>
    <row r="307" spans="1:26" ht="17.399999999999999" x14ac:dyDescent="0.35">
      <c r="A307" s="3" t="s">
        <v>636</v>
      </c>
      <c r="B307" s="3" t="s">
        <v>637</v>
      </c>
      <c r="C307" s="4">
        <v>45623</v>
      </c>
      <c r="D307" s="3" t="s">
        <v>67</v>
      </c>
      <c r="E307" s="3">
        <v>5700</v>
      </c>
      <c r="F307" s="3">
        <v>24</v>
      </c>
      <c r="G307" s="3">
        <v>11.13</v>
      </c>
      <c r="H307" s="3">
        <v>266.01</v>
      </c>
      <c r="I307" s="3">
        <v>49.6</v>
      </c>
      <c r="J307" s="3" t="s">
        <v>99</v>
      </c>
      <c r="K307" s="3">
        <v>15</v>
      </c>
      <c r="L307" s="3">
        <v>0</v>
      </c>
      <c r="M307" s="3">
        <v>64</v>
      </c>
      <c r="N307" s="3" t="s">
        <v>203</v>
      </c>
      <c r="O307" s="3" t="s">
        <v>43</v>
      </c>
      <c r="P307" s="3" t="s">
        <v>28</v>
      </c>
      <c r="Q307" s="3">
        <v>4</v>
      </c>
      <c r="R307" s="3">
        <v>59445</v>
      </c>
      <c r="S307" s="3">
        <v>656</v>
      </c>
      <c r="T307" s="3" t="s">
        <v>38</v>
      </c>
      <c r="U307" s="3">
        <v>1</v>
      </c>
      <c r="V307" s="3">
        <v>2189</v>
      </c>
      <c r="W307" s="5" t="str">
        <f t="shared" si="16"/>
        <v>650-699</v>
      </c>
      <c r="X307" s="5" t="str">
        <f t="shared" si="17"/>
        <v>Manageable (36-50%)</v>
      </c>
      <c r="Y307" s="5" t="str">
        <f t="shared" si="18"/>
        <v>Self-Employed</v>
      </c>
      <c r="Z307" s="3" t="str">
        <f t="shared" si="19"/>
        <v>Debt &amp; Assets</v>
      </c>
    </row>
    <row r="308" spans="1:26" ht="17.399999999999999" x14ac:dyDescent="0.35">
      <c r="A308" s="3" t="s">
        <v>638</v>
      </c>
      <c r="B308" s="3" t="s">
        <v>639</v>
      </c>
      <c r="C308" s="4">
        <v>45808</v>
      </c>
      <c r="D308" s="3" t="s">
        <v>64</v>
      </c>
      <c r="E308" s="3">
        <v>30100</v>
      </c>
      <c r="F308" s="3">
        <v>48</v>
      </c>
      <c r="G308" s="3">
        <v>13.59</v>
      </c>
      <c r="H308" s="3">
        <v>816.35</v>
      </c>
      <c r="I308" s="3">
        <v>27</v>
      </c>
      <c r="J308" s="3" t="s">
        <v>48</v>
      </c>
      <c r="K308" s="3">
        <v>0</v>
      </c>
      <c r="L308" s="3">
        <v>0</v>
      </c>
      <c r="M308" s="3">
        <v>31</v>
      </c>
      <c r="N308" s="3" t="s">
        <v>179</v>
      </c>
      <c r="O308" s="3" t="s">
        <v>72</v>
      </c>
      <c r="P308" s="3" t="s">
        <v>37</v>
      </c>
      <c r="Q308" s="3">
        <v>4</v>
      </c>
      <c r="R308" s="3">
        <v>63742</v>
      </c>
      <c r="S308" s="3">
        <v>537</v>
      </c>
      <c r="T308" s="3" t="s">
        <v>45</v>
      </c>
      <c r="U308" s="3">
        <v>0</v>
      </c>
      <c r="V308" s="3">
        <v>617</v>
      </c>
      <c r="W308" s="5" t="str">
        <f t="shared" si="16"/>
        <v>520-599</v>
      </c>
      <c r="X308" s="5" t="str">
        <f t="shared" si="17"/>
        <v>Low (&lt;=35%)</v>
      </c>
      <c r="Y308" s="5" t="str">
        <f t="shared" si="18"/>
        <v>Employed</v>
      </c>
      <c r="Z308" s="3" t="str">
        <f t="shared" si="19"/>
        <v>Investment &amp; Growth</v>
      </c>
    </row>
    <row r="309" spans="1:26" ht="17.399999999999999" x14ac:dyDescent="0.35">
      <c r="A309" s="3" t="s">
        <v>640</v>
      </c>
      <c r="B309" s="3" t="s">
        <v>641</v>
      </c>
      <c r="C309" s="4">
        <v>45311</v>
      </c>
      <c r="D309" s="3" t="s">
        <v>31</v>
      </c>
      <c r="E309" s="3">
        <v>2400</v>
      </c>
      <c r="F309" s="3">
        <v>24</v>
      </c>
      <c r="G309" s="3">
        <v>14.87</v>
      </c>
      <c r="H309" s="3">
        <v>116.22</v>
      </c>
      <c r="I309" s="3">
        <v>38.299999999999997</v>
      </c>
      <c r="J309" s="3" t="s">
        <v>32</v>
      </c>
      <c r="K309" s="3">
        <v>180</v>
      </c>
      <c r="L309" s="3">
        <v>1</v>
      </c>
      <c r="M309" s="3">
        <v>33</v>
      </c>
      <c r="N309" s="3" t="s">
        <v>119</v>
      </c>
      <c r="O309" s="3" t="s">
        <v>43</v>
      </c>
      <c r="P309" s="3" t="s">
        <v>73</v>
      </c>
      <c r="Q309" s="3">
        <v>0</v>
      </c>
      <c r="R309" s="3">
        <v>40311</v>
      </c>
      <c r="S309" s="3">
        <v>582</v>
      </c>
      <c r="T309" s="3" t="s">
        <v>38</v>
      </c>
      <c r="U309" s="3">
        <v>0</v>
      </c>
      <c r="V309" s="3">
        <v>1172</v>
      </c>
      <c r="W309" s="5" t="str">
        <f t="shared" si="16"/>
        <v>520-599</v>
      </c>
      <c r="X309" s="5" t="str">
        <f t="shared" si="17"/>
        <v>Manageable (36-50%)</v>
      </c>
      <c r="Y309" s="5" t="str">
        <f t="shared" si="18"/>
        <v>Employed</v>
      </c>
      <c r="Z309" s="3" t="str">
        <f t="shared" si="19"/>
        <v>Debt &amp; Assets</v>
      </c>
    </row>
    <row r="310" spans="1:26" ht="17.399999999999999" x14ac:dyDescent="0.35">
      <c r="A310" s="3" t="s">
        <v>642</v>
      </c>
      <c r="B310" s="3" t="s">
        <v>643</v>
      </c>
      <c r="C310" s="4">
        <v>45708</v>
      </c>
      <c r="D310" s="3" t="s">
        <v>64</v>
      </c>
      <c r="E310" s="3">
        <v>33300</v>
      </c>
      <c r="F310" s="3">
        <v>24</v>
      </c>
      <c r="G310" s="3">
        <v>11.81</v>
      </c>
      <c r="H310" s="3">
        <v>1564.59</v>
      </c>
      <c r="I310" s="3">
        <v>34.299999999999997</v>
      </c>
      <c r="J310" s="3" t="s">
        <v>48</v>
      </c>
      <c r="K310" s="3">
        <v>0</v>
      </c>
      <c r="L310" s="3">
        <v>0</v>
      </c>
      <c r="M310" s="3">
        <v>42</v>
      </c>
      <c r="N310" s="3" t="s">
        <v>62</v>
      </c>
      <c r="O310" s="3" t="s">
        <v>72</v>
      </c>
      <c r="P310" s="3" t="s">
        <v>37</v>
      </c>
      <c r="Q310" s="3">
        <v>17</v>
      </c>
      <c r="R310" s="3">
        <v>90104</v>
      </c>
      <c r="S310" s="3">
        <v>583</v>
      </c>
      <c r="T310" s="3" t="s">
        <v>29</v>
      </c>
      <c r="U310" s="3">
        <v>2</v>
      </c>
      <c r="V310" s="3">
        <v>1012</v>
      </c>
      <c r="W310" s="5" t="str">
        <f t="shared" si="16"/>
        <v>520-599</v>
      </c>
      <c r="X310" s="5" t="str">
        <f t="shared" si="17"/>
        <v>Low (&lt;=35%)</v>
      </c>
      <c r="Y310" s="5" t="str">
        <f t="shared" si="18"/>
        <v>Employed</v>
      </c>
      <c r="Z310" s="3" t="str">
        <f t="shared" si="19"/>
        <v>Investment &amp; Growth</v>
      </c>
    </row>
    <row r="311" spans="1:26" ht="17.399999999999999" x14ac:dyDescent="0.35">
      <c r="A311" s="3" t="s">
        <v>644</v>
      </c>
      <c r="B311" s="3" t="s">
        <v>645</v>
      </c>
      <c r="C311" s="4">
        <v>45725</v>
      </c>
      <c r="D311" s="3" t="s">
        <v>56</v>
      </c>
      <c r="E311" s="3">
        <v>23500</v>
      </c>
      <c r="F311" s="3">
        <v>24</v>
      </c>
      <c r="G311" s="3">
        <v>12.7</v>
      </c>
      <c r="H311" s="3">
        <v>1113.92</v>
      </c>
      <c r="I311" s="3">
        <v>71.2</v>
      </c>
      <c r="J311" s="3" t="s">
        <v>48</v>
      </c>
      <c r="K311" s="3">
        <v>0</v>
      </c>
      <c r="L311" s="3">
        <v>0</v>
      </c>
      <c r="M311" s="3">
        <v>46</v>
      </c>
      <c r="N311" s="3" t="s">
        <v>42</v>
      </c>
      <c r="O311" s="3" t="s">
        <v>27</v>
      </c>
      <c r="P311" s="3" t="s">
        <v>37</v>
      </c>
      <c r="Q311" s="3">
        <v>2</v>
      </c>
      <c r="R311" s="3">
        <v>31847</v>
      </c>
      <c r="S311" s="3">
        <v>599</v>
      </c>
      <c r="T311" s="3" t="s">
        <v>38</v>
      </c>
      <c r="U311" s="3">
        <v>1</v>
      </c>
      <c r="V311" s="3">
        <v>775</v>
      </c>
      <c r="W311" s="5" t="str">
        <f t="shared" si="16"/>
        <v>520-599</v>
      </c>
      <c r="X311" s="5" t="str">
        <f t="shared" si="17"/>
        <v>High (51-75%)</v>
      </c>
      <c r="Y311" s="5" t="str">
        <f t="shared" si="18"/>
        <v>Employed</v>
      </c>
      <c r="Z311" s="3" t="str">
        <f t="shared" si="19"/>
        <v>Consumer &amp; Personal</v>
      </c>
    </row>
    <row r="312" spans="1:26" ht="17.399999999999999" x14ac:dyDescent="0.35">
      <c r="A312" s="3" t="s">
        <v>646</v>
      </c>
      <c r="B312" s="3" t="s">
        <v>647</v>
      </c>
      <c r="C312" s="4">
        <v>45785</v>
      </c>
      <c r="D312" s="3" t="s">
        <v>77</v>
      </c>
      <c r="E312" s="3">
        <v>32700</v>
      </c>
      <c r="F312" s="3">
        <v>12</v>
      </c>
      <c r="G312" s="3">
        <v>7.25</v>
      </c>
      <c r="H312" s="3">
        <v>2833.19</v>
      </c>
      <c r="I312" s="3">
        <v>85.7</v>
      </c>
      <c r="J312" s="3" t="s">
        <v>99</v>
      </c>
      <c r="K312" s="3">
        <v>0</v>
      </c>
      <c r="L312" s="3">
        <v>0</v>
      </c>
      <c r="M312" s="3">
        <v>26</v>
      </c>
      <c r="N312" s="3" t="s">
        <v>105</v>
      </c>
      <c r="O312" s="3" t="s">
        <v>43</v>
      </c>
      <c r="P312" s="3" t="s">
        <v>85</v>
      </c>
      <c r="Q312" s="3">
        <v>4</v>
      </c>
      <c r="R312" s="3">
        <v>51955</v>
      </c>
      <c r="S312" s="3">
        <v>783</v>
      </c>
      <c r="T312" s="3" t="s">
        <v>45</v>
      </c>
      <c r="U312" s="3">
        <v>0</v>
      </c>
      <c r="V312" s="3">
        <v>876</v>
      </c>
      <c r="W312" s="5" t="str">
        <f t="shared" si="16"/>
        <v>750+</v>
      </c>
      <c r="X312" s="5" t="str">
        <f t="shared" si="17"/>
        <v>Critical (&gt;75%)</v>
      </c>
      <c r="Y312" s="5" t="str">
        <f t="shared" si="18"/>
        <v>Retired</v>
      </c>
      <c r="Z312" s="3" t="str">
        <f t="shared" si="19"/>
        <v>Consumer &amp; Personal</v>
      </c>
    </row>
    <row r="313" spans="1:26" ht="17.399999999999999" x14ac:dyDescent="0.35">
      <c r="A313" s="3" t="s">
        <v>648</v>
      </c>
      <c r="B313" s="3" t="s">
        <v>647</v>
      </c>
      <c r="C313" s="4">
        <v>45457</v>
      </c>
      <c r="D313" s="3" t="s">
        <v>52</v>
      </c>
      <c r="E313" s="3">
        <v>12200</v>
      </c>
      <c r="F313" s="3">
        <v>60</v>
      </c>
      <c r="G313" s="3">
        <v>8.36</v>
      </c>
      <c r="H313" s="3">
        <v>249.48</v>
      </c>
      <c r="I313" s="3">
        <v>26</v>
      </c>
      <c r="J313" s="3" t="s">
        <v>48</v>
      </c>
      <c r="K313" s="3">
        <v>0</v>
      </c>
      <c r="L313" s="3">
        <v>0</v>
      </c>
      <c r="M313" s="3">
        <v>26</v>
      </c>
      <c r="N313" s="3" t="s">
        <v>105</v>
      </c>
      <c r="O313" s="3" t="s">
        <v>43</v>
      </c>
      <c r="P313" s="3" t="s">
        <v>85</v>
      </c>
      <c r="Q313" s="3">
        <v>4</v>
      </c>
      <c r="R313" s="3">
        <v>51955</v>
      </c>
      <c r="S313" s="3">
        <v>783</v>
      </c>
      <c r="T313" s="3" t="s">
        <v>45</v>
      </c>
      <c r="U313" s="3">
        <v>0</v>
      </c>
      <c r="V313" s="3">
        <v>876</v>
      </c>
      <c r="W313" s="5" t="str">
        <f t="shared" si="16"/>
        <v>750+</v>
      </c>
      <c r="X313" s="5" t="str">
        <f t="shared" si="17"/>
        <v>Low (&lt;=35%)</v>
      </c>
      <c r="Y313" s="5" t="str">
        <f t="shared" si="18"/>
        <v>Retired</v>
      </c>
      <c r="Z313" s="3" t="str">
        <f t="shared" si="19"/>
        <v>Investment &amp; Growth</v>
      </c>
    </row>
    <row r="314" spans="1:26" ht="17.399999999999999" x14ac:dyDescent="0.35">
      <c r="A314" s="3" t="s">
        <v>649</v>
      </c>
      <c r="B314" s="3" t="s">
        <v>650</v>
      </c>
      <c r="C314" s="4">
        <v>45507</v>
      </c>
      <c r="D314" s="3" t="s">
        <v>61</v>
      </c>
      <c r="E314" s="3">
        <v>35000</v>
      </c>
      <c r="F314" s="3">
        <v>36</v>
      </c>
      <c r="G314" s="3">
        <v>12.84</v>
      </c>
      <c r="H314" s="3">
        <v>1176.5899999999999</v>
      </c>
      <c r="I314" s="3">
        <v>76.099999999999994</v>
      </c>
      <c r="J314" s="3" t="s">
        <v>99</v>
      </c>
      <c r="K314" s="3">
        <v>30</v>
      </c>
      <c r="L314" s="3">
        <v>0</v>
      </c>
      <c r="M314" s="3">
        <v>47</v>
      </c>
      <c r="N314" s="3" t="s">
        <v>57</v>
      </c>
      <c r="O314" s="3" t="s">
        <v>79</v>
      </c>
      <c r="P314" s="3" t="s">
        <v>73</v>
      </c>
      <c r="Q314" s="3">
        <v>14</v>
      </c>
      <c r="R314" s="3">
        <v>36601</v>
      </c>
      <c r="S314" s="3">
        <v>693</v>
      </c>
      <c r="T314" s="3" t="s">
        <v>45</v>
      </c>
      <c r="U314" s="3">
        <v>3</v>
      </c>
      <c r="V314" s="3">
        <v>1145</v>
      </c>
      <c r="W314" s="5" t="str">
        <f t="shared" si="16"/>
        <v>650-699</v>
      </c>
      <c r="X314" s="5" t="str">
        <f t="shared" si="17"/>
        <v>Critical (&gt;75%)</v>
      </c>
      <c r="Y314" s="5" t="str">
        <f t="shared" si="18"/>
        <v>Employed</v>
      </c>
      <c r="Z314" s="3" t="str">
        <f t="shared" si="19"/>
        <v>Investment &amp; Growth</v>
      </c>
    </row>
    <row r="315" spans="1:26" ht="17.399999999999999" x14ac:dyDescent="0.35">
      <c r="A315" s="3" t="s">
        <v>651</v>
      </c>
      <c r="B315" s="3" t="s">
        <v>652</v>
      </c>
      <c r="C315" s="4">
        <v>45621</v>
      </c>
      <c r="D315" s="3" t="s">
        <v>52</v>
      </c>
      <c r="E315" s="3">
        <v>49000</v>
      </c>
      <c r="F315" s="3">
        <v>48</v>
      </c>
      <c r="G315" s="3">
        <v>10.83</v>
      </c>
      <c r="H315" s="3">
        <v>1262.3900000000001</v>
      </c>
      <c r="I315" s="3">
        <v>46.7</v>
      </c>
      <c r="J315" s="3" t="s">
        <v>48</v>
      </c>
      <c r="K315" s="3">
        <v>0</v>
      </c>
      <c r="L315" s="3">
        <v>0</v>
      </c>
      <c r="M315" s="3">
        <v>60</v>
      </c>
      <c r="N315" s="3" t="s">
        <v>78</v>
      </c>
      <c r="O315" s="3" t="s">
        <v>27</v>
      </c>
      <c r="P315" s="3" t="s">
        <v>37</v>
      </c>
      <c r="Q315" s="3">
        <v>30</v>
      </c>
      <c r="R315" s="3">
        <v>55744</v>
      </c>
      <c r="S315" s="3">
        <v>632</v>
      </c>
      <c r="T315" s="3" t="s">
        <v>45</v>
      </c>
      <c r="U315" s="3">
        <v>4</v>
      </c>
      <c r="V315" s="3">
        <v>909</v>
      </c>
      <c r="W315" s="5" t="str">
        <f t="shared" si="16"/>
        <v>600-649</v>
      </c>
      <c r="X315" s="5" t="str">
        <f t="shared" si="17"/>
        <v>Manageable (36-50%)</v>
      </c>
      <c r="Y315" s="5" t="str">
        <f t="shared" si="18"/>
        <v>Employed</v>
      </c>
      <c r="Z315" s="3" t="str">
        <f t="shared" si="19"/>
        <v>Investment &amp; Growth</v>
      </c>
    </row>
    <row r="316" spans="1:26" ht="17.399999999999999" x14ac:dyDescent="0.35">
      <c r="A316" s="3" t="s">
        <v>653</v>
      </c>
      <c r="B316" s="3" t="s">
        <v>654</v>
      </c>
      <c r="C316" s="4">
        <v>45301</v>
      </c>
      <c r="D316" s="3" t="s">
        <v>56</v>
      </c>
      <c r="E316" s="3">
        <v>2100</v>
      </c>
      <c r="F316" s="3">
        <v>48</v>
      </c>
      <c r="G316" s="3">
        <v>8.42</v>
      </c>
      <c r="H316" s="3">
        <v>51.68</v>
      </c>
      <c r="I316" s="3">
        <v>11.8</v>
      </c>
      <c r="J316" s="3" t="s">
        <v>25</v>
      </c>
      <c r="K316" s="3">
        <v>0</v>
      </c>
      <c r="L316" s="3">
        <v>0</v>
      </c>
      <c r="M316" s="3">
        <v>66</v>
      </c>
      <c r="N316" s="3" t="s">
        <v>68</v>
      </c>
      <c r="O316" s="3" t="s">
        <v>43</v>
      </c>
      <c r="P316" s="3" t="s">
        <v>85</v>
      </c>
      <c r="Q316" s="3">
        <v>24</v>
      </c>
      <c r="R316" s="3">
        <v>54293</v>
      </c>
      <c r="S316" s="3">
        <v>696</v>
      </c>
      <c r="T316" s="3" t="s">
        <v>45</v>
      </c>
      <c r="U316" s="3">
        <v>1</v>
      </c>
      <c r="V316" s="3">
        <v>483</v>
      </c>
      <c r="W316" s="5" t="str">
        <f t="shared" si="16"/>
        <v>650-699</v>
      </c>
      <c r="X316" s="5" t="str">
        <f t="shared" si="17"/>
        <v>Low (&lt;=35%)</v>
      </c>
      <c r="Y316" s="5" t="str">
        <f t="shared" si="18"/>
        <v>Retired</v>
      </c>
      <c r="Z316" s="3" t="str">
        <f t="shared" si="19"/>
        <v>Consumer &amp; Personal</v>
      </c>
    </row>
    <row r="317" spans="1:26" ht="17.399999999999999" x14ac:dyDescent="0.35">
      <c r="A317" s="3" t="s">
        <v>655</v>
      </c>
      <c r="B317" s="3" t="s">
        <v>656</v>
      </c>
      <c r="C317" s="4">
        <v>45747</v>
      </c>
      <c r="D317" s="3" t="s">
        <v>31</v>
      </c>
      <c r="E317" s="3">
        <v>13300</v>
      </c>
      <c r="F317" s="3">
        <v>12</v>
      </c>
      <c r="G317" s="3">
        <v>9.34</v>
      </c>
      <c r="H317" s="3">
        <v>1165.2</v>
      </c>
      <c r="I317" s="3">
        <v>96.6</v>
      </c>
      <c r="J317" s="3" t="s">
        <v>25</v>
      </c>
      <c r="K317" s="3">
        <v>0</v>
      </c>
      <c r="L317" s="3">
        <v>0</v>
      </c>
      <c r="M317" s="3">
        <v>58</v>
      </c>
      <c r="N317" s="3" t="s">
        <v>105</v>
      </c>
      <c r="O317" s="3" t="s">
        <v>27</v>
      </c>
      <c r="P317" s="3" t="s">
        <v>85</v>
      </c>
      <c r="Q317" s="3">
        <v>1</v>
      </c>
      <c r="R317" s="3">
        <v>17239</v>
      </c>
      <c r="S317" s="3">
        <v>801</v>
      </c>
      <c r="T317" s="3" t="s">
        <v>29</v>
      </c>
      <c r="U317" s="3">
        <v>3</v>
      </c>
      <c r="V317" s="3">
        <v>222</v>
      </c>
      <c r="W317" s="5" t="str">
        <f t="shared" si="16"/>
        <v>750+</v>
      </c>
      <c r="X317" s="5" t="str">
        <f t="shared" si="17"/>
        <v>Critical (&gt;75%)</v>
      </c>
      <c r="Y317" s="5" t="str">
        <f t="shared" si="18"/>
        <v>Retired</v>
      </c>
      <c r="Z317" s="3" t="str">
        <f t="shared" si="19"/>
        <v>Debt &amp; Assets</v>
      </c>
    </row>
    <row r="318" spans="1:26" ht="17.399999999999999" x14ac:dyDescent="0.35">
      <c r="A318" s="3" t="s">
        <v>657</v>
      </c>
      <c r="B318" s="3" t="s">
        <v>658</v>
      </c>
      <c r="C318" s="4">
        <v>45671</v>
      </c>
      <c r="D318" s="3" t="s">
        <v>52</v>
      </c>
      <c r="E318" s="3">
        <v>42300</v>
      </c>
      <c r="F318" s="3">
        <v>12</v>
      </c>
      <c r="G318" s="3">
        <v>7.97</v>
      </c>
      <c r="H318" s="3">
        <v>3679.02</v>
      </c>
      <c r="I318" s="3">
        <v>72.599999999999994</v>
      </c>
      <c r="J318" s="3" t="s">
        <v>48</v>
      </c>
      <c r="K318" s="3">
        <v>0</v>
      </c>
      <c r="L318" s="3">
        <v>0</v>
      </c>
      <c r="M318" s="3">
        <v>40</v>
      </c>
      <c r="N318" s="3" t="s">
        <v>393</v>
      </c>
      <c r="O318" s="3" t="s">
        <v>72</v>
      </c>
      <c r="P318" s="3" t="s">
        <v>37</v>
      </c>
      <c r="Q318" s="3">
        <v>15</v>
      </c>
      <c r="R318" s="3">
        <v>127340</v>
      </c>
      <c r="S318" s="3">
        <v>759</v>
      </c>
      <c r="T318" s="3" t="s">
        <v>38</v>
      </c>
      <c r="U318" s="3">
        <v>0</v>
      </c>
      <c r="V318" s="3">
        <v>4025</v>
      </c>
      <c r="W318" s="5" t="str">
        <f t="shared" si="16"/>
        <v>750+</v>
      </c>
      <c r="X318" s="5" t="str">
        <f t="shared" si="17"/>
        <v>High (51-75%)</v>
      </c>
      <c r="Y318" s="5" t="str">
        <f t="shared" si="18"/>
        <v>Employed</v>
      </c>
      <c r="Z318" s="3" t="str">
        <f t="shared" si="19"/>
        <v>Investment &amp; Growth</v>
      </c>
    </row>
    <row r="319" spans="1:26" ht="17.399999999999999" x14ac:dyDescent="0.35">
      <c r="A319" s="3" t="s">
        <v>659</v>
      </c>
      <c r="B319" s="3" t="s">
        <v>658</v>
      </c>
      <c r="C319" s="4">
        <v>45602</v>
      </c>
      <c r="D319" s="3" t="s">
        <v>67</v>
      </c>
      <c r="E319" s="3">
        <v>34700</v>
      </c>
      <c r="F319" s="3">
        <v>36</v>
      </c>
      <c r="G319" s="3">
        <v>8.31</v>
      </c>
      <c r="H319" s="3">
        <v>1092.3399999999999</v>
      </c>
      <c r="I319" s="3">
        <v>48.2</v>
      </c>
      <c r="J319" s="3" t="s">
        <v>25</v>
      </c>
      <c r="K319" s="3">
        <v>0</v>
      </c>
      <c r="L319" s="3">
        <v>0</v>
      </c>
      <c r="M319" s="3">
        <v>40</v>
      </c>
      <c r="N319" s="3" t="s">
        <v>393</v>
      </c>
      <c r="O319" s="3" t="s">
        <v>72</v>
      </c>
      <c r="P319" s="3" t="s">
        <v>37</v>
      </c>
      <c r="Q319" s="3">
        <v>15</v>
      </c>
      <c r="R319" s="3">
        <v>127340</v>
      </c>
      <c r="S319" s="3">
        <v>759</v>
      </c>
      <c r="T319" s="3" t="s">
        <v>38</v>
      </c>
      <c r="U319" s="3">
        <v>0</v>
      </c>
      <c r="V319" s="3">
        <v>4025</v>
      </c>
      <c r="W319" s="5" t="str">
        <f t="shared" si="16"/>
        <v>750+</v>
      </c>
      <c r="X319" s="5" t="str">
        <f t="shared" si="17"/>
        <v>Manageable (36-50%)</v>
      </c>
      <c r="Y319" s="5" t="str">
        <f t="shared" si="18"/>
        <v>Employed</v>
      </c>
      <c r="Z319" s="3" t="str">
        <f t="shared" si="19"/>
        <v>Debt &amp; Assets</v>
      </c>
    </row>
    <row r="320" spans="1:26" ht="17.399999999999999" x14ac:dyDescent="0.35">
      <c r="A320" s="3" t="s">
        <v>660</v>
      </c>
      <c r="B320" s="3" t="s">
        <v>661</v>
      </c>
      <c r="C320" s="4">
        <v>45492</v>
      </c>
      <c r="D320" s="3" t="s">
        <v>67</v>
      </c>
      <c r="E320" s="3">
        <v>40100</v>
      </c>
      <c r="F320" s="3">
        <v>60</v>
      </c>
      <c r="G320" s="3">
        <v>7.03</v>
      </c>
      <c r="H320" s="3">
        <v>794.6</v>
      </c>
      <c r="I320" s="3">
        <v>64.8</v>
      </c>
      <c r="J320" s="3" t="s">
        <v>48</v>
      </c>
      <c r="K320" s="3">
        <v>0</v>
      </c>
      <c r="L320" s="3">
        <v>0</v>
      </c>
      <c r="M320" s="3">
        <v>67</v>
      </c>
      <c r="N320" s="3" t="s">
        <v>119</v>
      </c>
      <c r="O320" s="3" t="s">
        <v>43</v>
      </c>
      <c r="P320" s="3" t="s">
        <v>37</v>
      </c>
      <c r="Q320" s="3">
        <v>30</v>
      </c>
      <c r="R320" s="3">
        <v>69250</v>
      </c>
      <c r="S320" s="3">
        <v>841</v>
      </c>
      <c r="T320" s="3" t="s">
        <v>45</v>
      </c>
      <c r="U320" s="3">
        <v>1</v>
      </c>
      <c r="V320" s="3">
        <v>2944</v>
      </c>
      <c r="W320" s="5" t="str">
        <f t="shared" si="16"/>
        <v>750+</v>
      </c>
      <c r="X320" s="5" t="str">
        <f t="shared" si="17"/>
        <v>High (51-75%)</v>
      </c>
      <c r="Y320" s="5" t="str">
        <f t="shared" si="18"/>
        <v>Employed</v>
      </c>
      <c r="Z320" s="3" t="str">
        <f t="shared" si="19"/>
        <v>Debt &amp; Assets</v>
      </c>
    </row>
    <row r="321" spans="1:26" ht="17.399999999999999" x14ac:dyDescent="0.35">
      <c r="A321" s="3" t="s">
        <v>662</v>
      </c>
      <c r="B321" s="3" t="s">
        <v>661</v>
      </c>
      <c r="C321" s="4">
        <v>45471</v>
      </c>
      <c r="D321" s="3" t="s">
        <v>41</v>
      </c>
      <c r="E321" s="3">
        <v>25700</v>
      </c>
      <c r="F321" s="3">
        <v>60</v>
      </c>
      <c r="G321" s="3">
        <v>6.95</v>
      </c>
      <c r="H321" s="3">
        <v>508.28</v>
      </c>
      <c r="I321" s="3">
        <v>59.8</v>
      </c>
      <c r="J321" s="3" t="s">
        <v>32</v>
      </c>
      <c r="K321" s="3">
        <v>62</v>
      </c>
      <c r="L321" s="3">
        <v>1</v>
      </c>
      <c r="M321" s="3">
        <v>67</v>
      </c>
      <c r="N321" s="3" t="s">
        <v>119</v>
      </c>
      <c r="O321" s="3" t="s">
        <v>43</v>
      </c>
      <c r="P321" s="3" t="s">
        <v>37</v>
      </c>
      <c r="Q321" s="3">
        <v>30</v>
      </c>
      <c r="R321" s="3">
        <v>69250</v>
      </c>
      <c r="S321" s="3">
        <v>841</v>
      </c>
      <c r="T321" s="3" t="s">
        <v>45</v>
      </c>
      <c r="U321" s="3">
        <v>1</v>
      </c>
      <c r="V321" s="3">
        <v>2944</v>
      </c>
      <c r="W321" s="5" t="str">
        <f t="shared" si="16"/>
        <v>750+</v>
      </c>
      <c r="X321" s="5" t="str">
        <f t="shared" si="17"/>
        <v>High (51-75%)</v>
      </c>
      <c r="Y321" s="5" t="str">
        <f t="shared" si="18"/>
        <v>Employed</v>
      </c>
      <c r="Z321" s="3" t="str">
        <f t="shared" si="19"/>
        <v>Debt &amp; Assets</v>
      </c>
    </row>
    <row r="322" spans="1:26" ht="17.399999999999999" x14ac:dyDescent="0.35">
      <c r="A322" s="3" t="s">
        <v>663</v>
      </c>
      <c r="B322" s="3" t="s">
        <v>664</v>
      </c>
      <c r="C322" s="4">
        <v>45572</v>
      </c>
      <c r="D322" s="3" t="s">
        <v>56</v>
      </c>
      <c r="E322" s="3">
        <v>29400</v>
      </c>
      <c r="F322" s="3">
        <v>24</v>
      </c>
      <c r="G322" s="3">
        <v>10.76</v>
      </c>
      <c r="H322" s="3">
        <v>1367</v>
      </c>
      <c r="I322" s="3">
        <v>38.799999999999997</v>
      </c>
      <c r="J322" s="3" t="s">
        <v>25</v>
      </c>
      <c r="K322" s="3">
        <v>0</v>
      </c>
      <c r="L322" s="3">
        <v>0</v>
      </c>
      <c r="M322" s="3">
        <v>66</v>
      </c>
      <c r="N322" s="3" t="s">
        <v>62</v>
      </c>
      <c r="O322" s="3" t="s">
        <v>43</v>
      </c>
      <c r="P322" s="3" t="s">
        <v>37</v>
      </c>
      <c r="Q322" s="3">
        <v>5</v>
      </c>
      <c r="R322" s="3">
        <v>102385</v>
      </c>
      <c r="S322" s="3">
        <v>819</v>
      </c>
      <c r="T322" s="3" t="s">
        <v>38</v>
      </c>
      <c r="U322" s="3">
        <v>2</v>
      </c>
      <c r="V322" s="3">
        <v>1941</v>
      </c>
      <c r="W322" s="5" t="str">
        <f t="shared" ref="W322:W385" si="20">IF(S322&lt;=599, "520-599", IF(S322&lt;=649, "600-649", IF(S322&lt;=699, "650-699", IF(S322&lt;=749, "700-749", "750+"))))</f>
        <v>750+</v>
      </c>
      <c r="X322" s="5" t="str">
        <f t="shared" ref="X322:X385" si="21">IF(I322&lt;=35, "Low (&lt;=35%)", IF(I322&lt;=50, "Manageable (36-50%)", IF(I322&lt;=75, "High (51-75%)", "Critical (&gt;75%)")))</f>
        <v>Manageable (36-50%)</v>
      </c>
      <c r="Y322" s="5" t="str">
        <f t="shared" ref="Y322:Y385" si="22">IF(OR(P322="Full-Time", P322="Part-Time", P322="Contract"), "Employed", IF(P322="Self-Employed", "Self-Employed", IF(P322="Retired", "Retired", "Other")))</f>
        <v>Employed</v>
      </c>
      <c r="Z322" s="3" t="str">
        <f t="shared" ref="Z322:Z385" si="23">IF(OR(D322="Vacation", D322="Medical Expenses", D322="Wedding", D322="Moving"), "Consumer &amp; Personal", IF(OR(D322="Debt Consolidation", D322="Major Purchase", D322="Auto Loan"), "Debt &amp; Assets", IF(OR(D322="Home Improvement", D322="Business Loan", D322="Education"), "Investment &amp; Growth", "Other")))</f>
        <v>Consumer &amp; Personal</v>
      </c>
    </row>
    <row r="323" spans="1:26" ht="17.399999999999999" x14ac:dyDescent="0.35">
      <c r="A323" s="3" t="s">
        <v>665</v>
      </c>
      <c r="B323" s="3" t="s">
        <v>666</v>
      </c>
      <c r="C323" s="4">
        <v>45729</v>
      </c>
      <c r="D323" s="3" t="s">
        <v>35</v>
      </c>
      <c r="E323" s="3">
        <v>32400</v>
      </c>
      <c r="F323" s="3">
        <v>48</v>
      </c>
      <c r="G323" s="3">
        <v>7.78</v>
      </c>
      <c r="H323" s="3">
        <v>787.64</v>
      </c>
      <c r="I323" s="3">
        <v>30.9</v>
      </c>
      <c r="J323" s="3" t="s">
        <v>99</v>
      </c>
      <c r="K323" s="3">
        <v>15</v>
      </c>
      <c r="L323" s="3">
        <v>0</v>
      </c>
      <c r="M323" s="3">
        <v>63</v>
      </c>
      <c r="N323" s="3" t="s">
        <v>102</v>
      </c>
      <c r="O323" s="3" t="s">
        <v>43</v>
      </c>
      <c r="P323" s="3" t="s">
        <v>73</v>
      </c>
      <c r="Q323" s="3">
        <v>21</v>
      </c>
      <c r="R323" s="3">
        <v>44963</v>
      </c>
      <c r="S323" s="3">
        <v>734</v>
      </c>
      <c r="T323" s="3" t="s">
        <v>29</v>
      </c>
      <c r="U323" s="3">
        <v>0</v>
      </c>
      <c r="V323" s="3">
        <v>372</v>
      </c>
      <c r="W323" s="5" t="str">
        <f t="shared" si="20"/>
        <v>700-749</v>
      </c>
      <c r="X323" s="5" t="str">
        <f t="shared" si="21"/>
        <v>Low (&lt;=35%)</v>
      </c>
      <c r="Y323" s="5" t="str">
        <f t="shared" si="22"/>
        <v>Employed</v>
      </c>
      <c r="Z323" s="3" t="str">
        <f t="shared" si="23"/>
        <v>Consumer &amp; Personal</v>
      </c>
    </row>
    <row r="324" spans="1:26" ht="17.399999999999999" x14ac:dyDescent="0.35">
      <c r="A324" s="3" t="s">
        <v>667</v>
      </c>
      <c r="B324" s="3" t="s">
        <v>668</v>
      </c>
      <c r="C324" s="4">
        <v>45769</v>
      </c>
      <c r="D324" s="3" t="s">
        <v>31</v>
      </c>
      <c r="E324" s="3">
        <v>21500</v>
      </c>
      <c r="F324" s="3">
        <v>12</v>
      </c>
      <c r="G324" s="3">
        <v>9.58</v>
      </c>
      <c r="H324" s="3">
        <v>1885.99</v>
      </c>
      <c r="I324" s="3">
        <v>68.099999999999994</v>
      </c>
      <c r="J324" s="3" t="s">
        <v>48</v>
      </c>
      <c r="K324" s="3">
        <v>0</v>
      </c>
      <c r="L324" s="3">
        <v>0</v>
      </c>
      <c r="M324" s="3">
        <v>36</v>
      </c>
      <c r="N324" s="3" t="s">
        <v>78</v>
      </c>
      <c r="O324" s="3" t="s">
        <v>43</v>
      </c>
      <c r="P324" s="3" t="s">
        <v>37</v>
      </c>
      <c r="Q324" s="3">
        <v>7</v>
      </c>
      <c r="R324" s="3">
        <v>77637</v>
      </c>
      <c r="S324" s="3">
        <v>829</v>
      </c>
      <c r="T324" s="3" t="s">
        <v>45</v>
      </c>
      <c r="U324" s="3">
        <v>1</v>
      </c>
      <c r="V324" s="3">
        <v>2521</v>
      </c>
      <c r="W324" s="5" t="str">
        <f t="shared" si="20"/>
        <v>750+</v>
      </c>
      <c r="X324" s="5" t="str">
        <f t="shared" si="21"/>
        <v>High (51-75%)</v>
      </c>
      <c r="Y324" s="5" t="str">
        <f t="shared" si="22"/>
        <v>Employed</v>
      </c>
      <c r="Z324" s="3" t="str">
        <f t="shared" si="23"/>
        <v>Debt &amp; Assets</v>
      </c>
    </row>
    <row r="325" spans="1:26" ht="17.399999999999999" x14ac:dyDescent="0.35">
      <c r="A325" s="3" t="s">
        <v>669</v>
      </c>
      <c r="B325" s="3" t="s">
        <v>668</v>
      </c>
      <c r="C325" s="4">
        <v>45297</v>
      </c>
      <c r="D325" s="3" t="s">
        <v>64</v>
      </c>
      <c r="E325" s="3">
        <v>25600</v>
      </c>
      <c r="F325" s="3">
        <v>60</v>
      </c>
      <c r="G325" s="3">
        <v>8.43</v>
      </c>
      <c r="H325" s="3">
        <v>524.36</v>
      </c>
      <c r="I325" s="3">
        <v>47.1</v>
      </c>
      <c r="J325" s="3" t="s">
        <v>25</v>
      </c>
      <c r="K325" s="3">
        <v>0</v>
      </c>
      <c r="L325" s="3">
        <v>0</v>
      </c>
      <c r="M325" s="3">
        <v>36</v>
      </c>
      <c r="N325" s="3" t="s">
        <v>78</v>
      </c>
      <c r="O325" s="3" t="s">
        <v>43</v>
      </c>
      <c r="P325" s="3" t="s">
        <v>37</v>
      </c>
      <c r="Q325" s="3">
        <v>7</v>
      </c>
      <c r="R325" s="3">
        <v>77637</v>
      </c>
      <c r="S325" s="3">
        <v>829</v>
      </c>
      <c r="T325" s="3" t="s">
        <v>45</v>
      </c>
      <c r="U325" s="3">
        <v>1</v>
      </c>
      <c r="V325" s="3">
        <v>2521</v>
      </c>
      <c r="W325" s="5" t="str">
        <f t="shared" si="20"/>
        <v>750+</v>
      </c>
      <c r="X325" s="5" t="str">
        <f t="shared" si="21"/>
        <v>Manageable (36-50%)</v>
      </c>
      <c r="Y325" s="5" t="str">
        <f t="shared" si="22"/>
        <v>Employed</v>
      </c>
      <c r="Z325" s="3" t="str">
        <f t="shared" si="23"/>
        <v>Investment &amp; Growth</v>
      </c>
    </row>
    <row r="326" spans="1:26" ht="17.399999999999999" x14ac:dyDescent="0.35">
      <c r="A326" s="3" t="s">
        <v>670</v>
      </c>
      <c r="B326" s="3" t="s">
        <v>671</v>
      </c>
      <c r="C326" s="4">
        <v>45493</v>
      </c>
      <c r="D326" s="3" t="s">
        <v>64</v>
      </c>
      <c r="E326" s="3">
        <v>22300</v>
      </c>
      <c r="F326" s="3">
        <v>12</v>
      </c>
      <c r="G326" s="3">
        <v>14.87</v>
      </c>
      <c r="H326" s="3">
        <v>2011.39</v>
      </c>
      <c r="I326" s="3">
        <v>109.3</v>
      </c>
      <c r="J326" s="3" t="s">
        <v>32</v>
      </c>
      <c r="K326" s="3">
        <v>109</v>
      </c>
      <c r="L326" s="3">
        <v>1</v>
      </c>
      <c r="M326" s="3">
        <v>66</v>
      </c>
      <c r="N326" s="3" t="s">
        <v>53</v>
      </c>
      <c r="O326" s="3" t="s">
        <v>43</v>
      </c>
      <c r="P326" s="3" t="s">
        <v>37</v>
      </c>
      <c r="Q326" s="3">
        <v>18</v>
      </c>
      <c r="R326" s="3">
        <v>42167</v>
      </c>
      <c r="S326" s="3">
        <v>583</v>
      </c>
      <c r="T326" s="3" t="s">
        <v>45</v>
      </c>
      <c r="U326" s="3">
        <v>0</v>
      </c>
      <c r="V326" s="3">
        <v>1828</v>
      </c>
      <c r="W326" s="5" t="str">
        <f t="shared" si="20"/>
        <v>520-599</v>
      </c>
      <c r="X326" s="5" t="str">
        <f t="shared" si="21"/>
        <v>Critical (&gt;75%)</v>
      </c>
      <c r="Y326" s="5" t="str">
        <f t="shared" si="22"/>
        <v>Employed</v>
      </c>
      <c r="Z326" s="3" t="str">
        <f t="shared" si="23"/>
        <v>Investment &amp; Growth</v>
      </c>
    </row>
    <row r="327" spans="1:26" ht="17.399999999999999" x14ac:dyDescent="0.35">
      <c r="A327" s="3" t="s">
        <v>672</v>
      </c>
      <c r="B327" s="3" t="s">
        <v>671</v>
      </c>
      <c r="C327" s="4">
        <v>45316</v>
      </c>
      <c r="D327" s="3" t="s">
        <v>61</v>
      </c>
      <c r="E327" s="3">
        <v>6100</v>
      </c>
      <c r="F327" s="3">
        <v>48</v>
      </c>
      <c r="G327" s="3">
        <v>12.44</v>
      </c>
      <c r="H327" s="3">
        <v>161.96</v>
      </c>
      <c r="I327" s="3">
        <v>56.6</v>
      </c>
      <c r="J327" s="3" t="s">
        <v>48</v>
      </c>
      <c r="K327" s="3">
        <v>0</v>
      </c>
      <c r="L327" s="3">
        <v>0</v>
      </c>
      <c r="M327" s="3">
        <v>66</v>
      </c>
      <c r="N327" s="3" t="s">
        <v>53</v>
      </c>
      <c r="O327" s="3" t="s">
        <v>43</v>
      </c>
      <c r="P327" s="3" t="s">
        <v>37</v>
      </c>
      <c r="Q327" s="3">
        <v>18</v>
      </c>
      <c r="R327" s="3">
        <v>42167</v>
      </c>
      <c r="S327" s="3">
        <v>583</v>
      </c>
      <c r="T327" s="3" t="s">
        <v>45</v>
      </c>
      <c r="U327" s="3">
        <v>0</v>
      </c>
      <c r="V327" s="3">
        <v>1828</v>
      </c>
      <c r="W327" s="5" t="str">
        <f t="shared" si="20"/>
        <v>520-599</v>
      </c>
      <c r="X327" s="5" t="str">
        <f t="shared" si="21"/>
        <v>High (51-75%)</v>
      </c>
      <c r="Y327" s="5" t="str">
        <f t="shared" si="22"/>
        <v>Employed</v>
      </c>
      <c r="Z327" s="3" t="str">
        <f t="shared" si="23"/>
        <v>Investment &amp; Growth</v>
      </c>
    </row>
    <row r="328" spans="1:26" ht="17.399999999999999" x14ac:dyDescent="0.35">
      <c r="A328" s="3" t="s">
        <v>673</v>
      </c>
      <c r="B328" s="3" t="s">
        <v>674</v>
      </c>
      <c r="C328" s="4">
        <v>45824</v>
      </c>
      <c r="D328" s="3" t="s">
        <v>61</v>
      </c>
      <c r="E328" s="3">
        <v>48000</v>
      </c>
      <c r="F328" s="3">
        <v>12</v>
      </c>
      <c r="G328" s="3">
        <v>10.76</v>
      </c>
      <c r="H328" s="3">
        <v>4236.95</v>
      </c>
      <c r="I328" s="3">
        <v>117.3</v>
      </c>
      <c r="J328" s="3" t="s">
        <v>99</v>
      </c>
      <c r="K328" s="3">
        <v>15</v>
      </c>
      <c r="L328" s="3">
        <v>0</v>
      </c>
      <c r="M328" s="3">
        <v>31</v>
      </c>
      <c r="N328" s="3" t="s">
        <v>84</v>
      </c>
      <c r="O328" s="3" t="s">
        <v>79</v>
      </c>
      <c r="P328" s="3" t="s">
        <v>37</v>
      </c>
      <c r="Q328" s="3">
        <v>7</v>
      </c>
      <c r="R328" s="3">
        <v>65633</v>
      </c>
      <c r="S328" s="3">
        <v>801</v>
      </c>
      <c r="T328" s="3" t="s">
        <v>45</v>
      </c>
      <c r="U328" s="3">
        <v>1</v>
      </c>
      <c r="V328" s="3">
        <v>2178</v>
      </c>
      <c r="W328" s="5" t="str">
        <f t="shared" si="20"/>
        <v>750+</v>
      </c>
      <c r="X328" s="5" t="str">
        <f t="shared" si="21"/>
        <v>Critical (&gt;75%)</v>
      </c>
      <c r="Y328" s="5" t="str">
        <f t="shared" si="22"/>
        <v>Employed</v>
      </c>
      <c r="Z328" s="3" t="str">
        <f t="shared" si="23"/>
        <v>Investment &amp; Growth</v>
      </c>
    </row>
    <row r="329" spans="1:26" ht="17.399999999999999" x14ac:dyDescent="0.35">
      <c r="A329" s="3" t="s">
        <v>675</v>
      </c>
      <c r="B329" s="3" t="s">
        <v>676</v>
      </c>
      <c r="C329" s="4">
        <v>45326</v>
      </c>
      <c r="D329" s="3" t="s">
        <v>61</v>
      </c>
      <c r="E329" s="3">
        <v>29700</v>
      </c>
      <c r="F329" s="3">
        <v>12</v>
      </c>
      <c r="G329" s="3">
        <v>15.86</v>
      </c>
      <c r="H329" s="3">
        <v>2692.74</v>
      </c>
      <c r="I329" s="3">
        <v>119.6</v>
      </c>
      <c r="J329" s="3" t="s">
        <v>32</v>
      </c>
      <c r="K329" s="3">
        <v>46</v>
      </c>
      <c r="L329" s="3">
        <v>1</v>
      </c>
      <c r="M329" s="3">
        <v>42</v>
      </c>
      <c r="N329" s="3" t="s">
        <v>135</v>
      </c>
      <c r="O329" s="3" t="s">
        <v>27</v>
      </c>
      <c r="P329" s="3" t="s">
        <v>37</v>
      </c>
      <c r="Q329" s="3">
        <v>10</v>
      </c>
      <c r="R329" s="3">
        <v>47419</v>
      </c>
      <c r="S329" s="3">
        <v>541</v>
      </c>
      <c r="T329" s="3" t="s">
        <v>45</v>
      </c>
      <c r="U329" s="3">
        <v>3</v>
      </c>
      <c r="V329" s="3">
        <v>2034</v>
      </c>
      <c r="W329" s="5" t="str">
        <f t="shared" si="20"/>
        <v>520-599</v>
      </c>
      <c r="X329" s="5" t="str">
        <f t="shared" si="21"/>
        <v>Critical (&gt;75%)</v>
      </c>
      <c r="Y329" s="5" t="str">
        <f t="shared" si="22"/>
        <v>Employed</v>
      </c>
      <c r="Z329" s="3" t="str">
        <f t="shared" si="23"/>
        <v>Investment &amp; Growth</v>
      </c>
    </row>
    <row r="330" spans="1:26" ht="17.399999999999999" x14ac:dyDescent="0.35">
      <c r="A330" s="3" t="s">
        <v>677</v>
      </c>
      <c r="B330" s="3" t="s">
        <v>678</v>
      </c>
      <c r="C330" s="4">
        <v>45734</v>
      </c>
      <c r="D330" s="3" t="s">
        <v>67</v>
      </c>
      <c r="E330" s="3">
        <v>22200</v>
      </c>
      <c r="F330" s="3">
        <v>36</v>
      </c>
      <c r="G330" s="3">
        <v>10.67</v>
      </c>
      <c r="H330" s="3">
        <v>723.34</v>
      </c>
      <c r="I330" s="3">
        <v>39.9</v>
      </c>
      <c r="J330" s="3" t="s">
        <v>32</v>
      </c>
      <c r="K330" s="3">
        <v>44</v>
      </c>
      <c r="L330" s="3">
        <v>1</v>
      </c>
      <c r="M330" s="3">
        <v>37</v>
      </c>
      <c r="N330" s="3" t="s">
        <v>78</v>
      </c>
      <c r="O330" s="3" t="s">
        <v>43</v>
      </c>
      <c r="P330" s="3" t="s">
        <v>73</v>
      </c>
      <c r="Q330" s="3">
        <v>14</v>
      </c>
      <c r="R330" s="3">
        <v>33944</v>
      </c>
      <c r="S330" s="3">
        <v>743</v>
      </c>
      <c r="T330" s="3" t="s">
        <v>38</v>
      </c>
      <c r="U330" s="3">
        <v>2</v>
      </c>
      <c r="V330" s="3">
        <v>405</v>
      </c>
      <c r="W330" s="5" t="str">
        <f t="shared" si="20"/>
        <v>700-749</v>
      </c>
      <c r="X330" s="5" t="str">
        <f t="shared" si="21"/>
        <v>Manageable (36-50%)</v>
      </c>
      <c r="Y330" s="5" t="str">
        <f t="shared" si="22"/>
        <v>Employed</v>
      </c>
      <c r="Z330" s="3" t="str">
        <f t="shared" si="23"/>
        <v>Debt &amp; Assets</v>
      </c>
    </row>
    <row r="331" spans="1:26" ht="17.399999999999999" x14ac:dyDescent="0.35">
      <c r="A331" s="3" t="s">
        <v>679</v>
      </c>
      <c r="B331" s="3" t="s">
        <v>680</v>
      </c>
      <c r="C331" s="4">
        <v>45530</v>
      </c>
      <c r="D331" s="3" t="s">
        <v>41</v>
      </c>
      <c r="E331" s="3">
        <v>21300</v>
      </c>
      <c r="F331" s="3">
        <v>60</v>
      </c>
      <c r="G331" s="3">
        <v>13.16</v>
      </c>
      <c r="H331" s="3">
        <v>486.39</v>
      </c>
      <c r="I331" s="3">
        <v>23</v>
      </c>
      <c r="J331" s="3" t="s">
        <v>99</v>
      </c>
      <c r="K331" s="3">
        <v>0</v>
      </c>
      <c r="L331" s="3">
        <v>0</v>
      </c>
      <c r="M331" s="3">
        <v>64</v>
      </c>
      <c r="N331" s="3" t="s">
        <v>78</v>
      </c>
      <c r="O331" s="3" t="s">
        <v>43</v>
      </c>
      <c r="P331" s="3" t="s">
        <v>37</v>
      </c>
      <c r="Q331" s="3">
        <v>28</v>
      </c>
      <c r="R331" s="3">
        <v>79780</v>
      </c>
      <c r="S331" s="3">
        <v>636</v>
      </c>
      <c r="T331" s="3" t="s">
        <v>45</v>
      </c>
      <c r="U331" s="3">
        <v>0</v>
      </c>
      <c r="V331" s="3">
        <v>1046</v>
      </c>
      <c r="W331" s="5" t="str">
        <f t="shared" si="20"/>
        <v>600-649</v>
      </c>
      <c r="X331" s="5" t="str">
        <f t="shared" si="21"/>
        <v>Low (&lt;=35%)</v>
      </c>
      <c r="Y331" s="5" t="str">
        <f t="shared" si="22"/>
        <v>Employed</v>
      </c>
      <c r="Z331" s="3" t="str">
        <f t="shared" si="23"/>
        <v>Debt &amp; Assets</v>
      </c>
    </row>
    <row r="332" spans="1:26" ht="17.399999999999999" x14ac:dyDescent="0.35">
      <c r="A332" s="3" t="s">
        <v>681</v>
      </c>
      <c r="B332" s="3" t="s">
        <v>682</v>
      </c>
      <c r="C332" s="4">
        <v>45318</v>
      </c>
      <c r="D332" s="3" t="s">
        <v>24</v>
      </c>
      <c r="E332" s="3">
        <v>44200</v>
      </c>
      <c r="F332" s="3">
        <v>60</v>
      </c>
      <c r="G332" s="3">
        <v>10.81</v>
      </c>
      <c r="H332" s="3">
        <v>956.83</v>
      </c>
      <c r="I332" s="3">
        <v>29.8</v>
      </c>
      <c r="J332" s="3" t="s">
        <v>48</v>
      </c>
      <c r="K332" s="3">
        <v>0</v>
      </c>
      <c r="L332" s="3">
        <v>0</v>
      </c>
      <c r="M332" s="3">
        <v>39</v>
      </c>
      <c r="N332" s="3" t="s">
        <v>128</v>
      </c>
      <c r="O332" s="3" t="s">
        <v>72</v>
      </c>
      <c r="P332" s="3" t="s">
        <v>44</v>
      </c>
      <c r="Q332" s="3">
        <v>17</v>
      </c>
      <c r="R332" s="3">
        <v>59967</v>
      </c>
      <c r="S332" s="3">
        <v>582</v>
      </c>
      <c r="T332" s="3" t="s">
        <v>38</v>
      </c>
      <c r="U332" s="3">
        <v>0</v>
      </c>
      <c r="V332" s="3">
        <v>534</v>
      </c>
      <c r="W332" s="5" t="str">
        <f t="shared" si="20"/>
        <v>520-599</v>
      </c>
      <c r="X332" s="5" t="str">
        <f t="shared" si="21"/>
        <v>Low (&lt;=35%)</v>
      </c>
      <c r="Y332" s="5" t="str">
        <f t="shared" si="22"/>
        <v>Employed</v>
      </c>
      <c r="Z332" s="3" t="str">
        <f t="shared" si="23"/>
        <v>Consumer &amp; Personal</v>
      </c>
    </row>
    <row r="333" spans="1:26" ht="17.399999999999999" x14ac:dyDescent="0.35">
      <c r="A333" s="3" t="s">
        <v>683</v>
      </c>
      <c r="B333" s="3" t="s">
        <v>684</v>
      </c>
      <c r="C333" s="4">
        <v>45421</v>
      </c>
      <c r="D333" s="3" t="s">
        <v>77</v>
      </c>
      <c r="E333" s="3">
        <v>30500</v>
      </c>
      <c r="F333" s="3">
        <v>24</v>
      </c>
      <c r="G333" s="3">
        <v>10.36</v>
      </c>
      <c r="H333" s="3">
        <v>1412.49</v>
      </c>
      <c r="I333" s="3">
        <v>38.1</v>
      </c>
      <c r="J333" s="3" t="s">
        <v>48</v>
      </c>
      <c r="K333" s="3">
        <v>0</v>
      </c>
      <c r="L333" s="3">
        <v>0</v>
      </c>
      <c r="M333" s="3">
        <v>64</v>
      </c>
      <c r="N333" s="3" t="s">
        <v>167</v>
      </c>
      <c r="O333" s="3" t="s">
        <v>72</v>
      </c>
      <c r="P333" s="3" t="s">
        <v>37</v>
      </c>
      <c r="Q333" s="3">
        <v>24</v>
      </c>
      <c r="R333" s="3">
        <v>109435</v>
      </c>
      <c r="S333" s="3">
        <v>850</v>
      </c>
      <c r="T333" s="3" t="s">
        <v>45</v>
      </c>
      <c r="U333" s="3">
        <v>0</v>
      </c>
      <c r="V333" s="3">
        <v>2060</v>
      </c>
      <c r="W333" s="5" t="str">
        <f t="shared" si="20"/>
        <v>750+</v>
      </c>
      <c r="X333" s="5" t="str">
        <f t="shared" si="21"/>
        <v>Manageable (36-50%)</v>
      </c>
      <c r="Y333" s="5" t="str">
        <f t="shared" si="22"/>
        <v>Employed</v>
      </c>
      <c r="Z333" s="3" t="str">
        <f t="shared" si="23"/>
        <v>Consumer &amp; Personal</v>
      </c>
    </row>
    <row r="334" spans="1:26" ht="17.399999999999999" x14ac:dyDescent="0.35">
      <c r="A334" s="3" t="s">
        <v>685</v>
      </c>
      <c r="B334" s="3" t="s">
        <v>686</v>
      </c>
      <c r="C334" s="4">
        <v>45611</v>
      </c>
      <c r="D334" s="3" t="s">
        <v>24</v>
      </c>
      <c r="E334" s="3">
        <v>7900</v>
      </c>
      <c r="F334" s="3">
        <v>12</v>
      </c>
      <c r="G334" s="3">
        <v>8.77</v>
      </c>
      <c r="H334" s="3">
        <v>690.02</v>
      </c>
      <c r="I334" s="3">
        <v>29.9</v>
      </c>
      <c r="J334" s="3" t="s">
        <v>99</v>
      </c>
      <c r="K334" s="3">
        <v>0</v>
      </c>
      <c r="L334" s="3">
        <v>0</v>
      </c>
      <c r="M334" s="3">
        <v>51</v>
      </c>
      <c r="N334" s="3" t="s">
        <v>128</v>
      </c>
      <c r="O334" s="3" t="s">
        <v>43</v>
      </c>
      <c r="P334" s="3" t="s">
        <v>44</v>
      </c>
      <c r="Q334" s="3">
        <v>5</v>
      </c>
      <c r="R334" s="3">
        <v>85642</v>
      </c>
      <c r="S334" s="3">
        <v>692</v>
      </c>
      <c r="T334" s="3" t="s">
        <v>29</v>
      </c>
      <c r="U334" s="3">
        <v>0</v>
      </c>
      <c r="V334" s="3">
        <v>1446</v>
      </c>
      <c r="W334" s="5" t="str">
        <f t="shared" si="20"/>
        <v>650-699</v>
      </c>
      <c r="X334" s="5" t="str">
        <f t="shared" si="21"/>
        <v>Low (&lt;=35%)</v>
      </c>
      <c r="Y334" s="5" t="str">
        <f t="shared" si="22"/>
        <v>Employed</v>
      </c>
      <c r="Z334" s="3" t="str">
        <f t="shared" si="23"/>
        <v>Consumer &amp; Personal</v>
      </c>
    </row>
    <row r="335" spans="1:26" ht="17.399999999999999" x14ac:dyDescent="0.35">
      <c r="A335" s="3" t="s">
        <v>687</v>
      </c>
      <c r="B335" s="3" t="s">
        <v>688</v>
      </c>
      <c r="C335" s="4">
        <v>45643</v>
      </c>
      <c r="D335" s="3" t="s">
        <v>77</v>
      </c>
      <c r="E335" s="3">
        <v>39200</v>
      </c>
      <c r="F335" s="3">
        <v>24</v>
      </c>
      <c r="G335" s="3">
        <v>8.35</v>
      </c>
      <c r="H335" s="3">
        <v>1779.17</v>
      </c>
      <c r="I335" s="3">
        <v>69.400000000000006</v>
      </c>
      <c r="J335" s="3" t="s">
        <v>99</v>
      </c>
      <c r="K335" s="3">
        <v>30</v>
      </c>
      <c r="L335" s="3">
        <v>0</v>
      </c>
      <c r="M335" s="3">
        <v>33</v>
      </c>
      <c r="N335" s="3" t="s">
        <v>102</v>
      </c>
      <c r="O335" s="3" t="s">
        <v>43</v>
      </c>
      <c r="P335" s="3" t="s">
        <v>37</v>
      </c>
      <c r="Q335" s="3">
        <v>2</v>
      </c>
      <c r="R335" s="3">
        <v>65383</v>
      </c>
      <c r="S335" s="3">
        <v>840</v>
      </c>
      <c r="T335" s="3" t="s">
        <v>45</v>
      </c>
      <c r="U335" s="3">
        <v>0</v>
      </c>
      <c r="V335" s="3">
        <v>2003</v>
      </c>
      <c r="W335" s="5" t="str">
        <f t="shared" si="20"/>
        <v>750+</v>
      </c>
      <c r="X335" s="5" t="str">
        <f t="shared" si="21"/>
        <v>High (51-75%)</v>
      </c>
      <c r="Y335" s="5" t="str">
        <f t="shared" si="22"/>
        <v>Employed</v>
      </c>
      <c r="Z335" s="3" t="str">
        <f t="shared" si="23"/>
        <v>Consumer &amp; Personal</v>
      </c>
    </row>
    <row r="336" spans="1:26" ht="17.399999999999999" x14ac:dyDescent="0.35">
      <c r="A336" s="3" t="s">
        <v>689</v>
      </c>
      <c r="B336" s="3" t="s">
        <v>690</v>
      </c>
      <c r="C336" s="4">
        <v>45724</v>
      </c>
      <c r="D336" s="3" t="s">
        <v>56</v>
      </c>
      <c r="E336" s="3">
        <v>8800</v>
      </c>
      <c r="F336" s="3">
        <v>60</v>
      </c>
      <c r="G336" s="3">
        <v>14.04</v>
      </c>
      <c r="H336" s="3">
        <v>204.94</v>
      </c>
      <c r="I336" s="3">
        <v>33.4</v>
      </c>
      <c r="J336" s="3" t="s">
        <v>99</v>
      </c>
      <c r="K336" s="3">
        <v>30</v>
      </c>
      <c r="L336" s="3">
        <v>0</v>
      </c>
      <c r="M336" s="3">
        <v>66</v>
      </c>
      <c r="N336" s="3" t="s">
        <v>213</v>
      </c>
      <c r="O336" s="3" t="s">
        <v>72</v>
      </c>
      <c r="P336" s="3" t="s">
        <v>85</v>
      </c>
      <c r="Q336" s="3">
        <v>31</v>
      </c>
      <c r="R336" s="3">
        <v>41677</v>
      </c>
      <c r="S336" s="3">
        <v>615</v>
      </c>
      <c r="T336" s="3" t="s">
        <v>45</v>
      </c>
      <c r="U336" s="3">
        <v>1</v>
      </c>
      <c r="V336" s="3">
        <v>956</v>
      </c>
      <c r="W336" s="5" t="str">
        <f t="shared" si="20"/>
        <v>600-649</v>
      </c>
      <c r="X336" s="5" t="str">
        <f t="shared" si="21"/>
        <v>Low (&lt;=35%)</v>
      </c>
      <c r="Y336" s="5" t="str">
        <f t="shared" si="22"/>
        <v>Retired</v>
      </c>
      <c r="Z336" s="3" t="str">
        <f t="shared" si="23"/>
        <v>Consumer &amp; Personal</v>
      </c>
    </row>
    <row r="337" spans="1:26" ht="17.399999999999999" x14ac:dyDescent="0.35">
      <c r="A337" s="3" t="s">
        <v>691</v>
      </c>
      <c r="B337" s="3" t="s">
        <v>692</v>
      </c>
      <c r="C337" s="4">
        <v>45631</v>
      </c>
      <c r="D337" s="3" t="s">
        <v>61</v>
      </c>
      <c r="E337" s="3">
        <v>28000</v>
      </c>
      <c r="F337" s="3">
        <v>48</v>
      </c>
      <c r="G337" s="3">
        <v>12.52</v>
      </c>
      <c r="H337" s="3">
        <v>744.52</v>
      </c>
      <c r="I337" s="3">
        <v>40.9</v>
      </c>
      <c r="J337" s="3" t="s">
        <v>48</v>
      </c>
      <c r="K337" s="3">
        <v>0</v>
      </c>
      <c r="L337" s="3">
        <v>0</v>
      </c>
      <c r="M337" s="3">
        <v>25</v>
      </c>
      <c r="N337" s="3" t="s">
        <v>93</v>
      </c>
      <c r="O337" s="3" t="s">
        <v>72</v>
      </c>
      <c r="P337" s="3" t="s">
        <v>85</v>
      </c>
      <c r="Q337" s="3">
        <v>3</v>
      </c>
      <c r="R337" s="3">
        <v>57707</v>
      </c>
      <c r="S337" s="3">
        <v>629</v>
      </c>
      <c r="T337" s="3" t="s">
        <v>29</v>
      </c>
      <c r="U337" s="3">
        <v>2</v>
      </c>
      <c r="V337" s="3">
        <v>1224</v>
      </c>
      <c r="W337" s="5" t="str">
        <f t="shared" si="20"/>
        <v>600-649</v>
      </c>
      <c r="X337" s="5" t="str">
        <f t="shared" si="21"/>
        <v>Manageable (36-50%)</v>
      </c>
      <c r="Y337" s="5" t="str">
        <f t="shared" si="22"/>
        <v>Retired</v>
      </c>
      <c r="Z337" s="3" t="str">
        <f t="shared" si="23"/>
        <v>Investment &amp; Growth</v>
      </c>
    </row>
    <row r="338" spans="1:26" ht="17.399999999999999" x14ac:dyDescent="0.35">
      <c r="A338" s="3" t="s">
        <v>693</v>
      </c>
      <c r="B338" s="3" t="s">
        <v>694</v>
      </c>
      <c r="C338" s="4">
        <v>45295</v>
      </c>
      <c r="D338" s="3" t="s">
        <v>52</v>
      </c>
      <c r="E338" s="3">
        <v>17200</v>
      </c>
      <c r="F338" s="3">
        <v>12</v>
      </c>
      <c r="G338" s="3">
        <v>12.86</v>
      </c>
      <c r="H338" s="3">
        <v>1535.13</v>
      </c>
      <c r="I338" s="3">
        <v>44.4</v>
      </c>
      <c r="J338" s="3" t="s">
        <v>48</v>
      </c>
      <c r="K338" s="3">
        <v>0</v>
      </c>
      <c r="L338" s="3">
        <v>0</v>
      </c>
      <c r="M338" s="3">
        <v>53</v>
      </c>
      <c r="N338" s="3" t="s">
        <v>62</v>
      </c>
      <c r="O338" s="3" t="s">
        <v>43</v>
      </c>
      <c r="P338" s="3" t="s">
        <v>44</v>
      </c>
      <c r="Q338" s="3">
        <v>1</v>
      </c>
      <c r="R338" s="3">
        <v>71779</v>
      </c>
      <c r="S338" s="3">
        <v>577</v>
      </c>
      <c r="T338" s="3" t="s">
        <v>29</v>
      </c>
      <c r="U338" s="3">
        <v>0</v>
      </c>
      <c r="V338" s="3">
        <v>1121</v>
      </c>
      <c r="W338" s="5" t="str">
        <f t="shared" si="20"/>
        <v>520-599</v>
      </c>
      <c r="X338" s="5" t="str">
        <f t="shared" si="21"/>
        <v>Manageable (36-50%)</v>
      </c>
      <c r="Y338" s="5" t="str">
        <f t="shared" si="22"/>
        <v>Employed</v>
      </c>
      <c r="Z338" s="3" t="str">
        <f t="shared" si="23"/>
        <v>Investment &amp; Growth</v>
      </c>
    </row>
    <row r="339" spans="1:26" ht="17.399999999999999" x14ac:dyDescent="0.35">
      <c r="A339" s="3" t="s">
        <v>695</v>
      </c>
      <c r="B339" s="3" t="s">
        <v>696</v>
      </c>
      <c r="C339" s="4">
        <v>45676</v>
      </c>
      <c r="D339" s="3" t="s">
        <v>24</v>
      </c>
      <c r="E339" s="3">
        <v>47700</v>
      </c>
      <c r="F339" s="3">
        <v>36</v>
      </c>
      <c r="G339" s="3">
        <v>10.99</v>
      </c>
      <c r="H339" s="3">
        <v>1561.41</v>
      </c>
      <c r="I339" s="3">
        <v>77.5</v>
      </c>
      <c r="J339" s="3" t="s">
        <v>25</v>
      </c>
      <c r="K339" s="3">
        <v>0</v>
      </c>
      <c r="L339" s="3">
        <v>0</v>
      </c>
      <c r="M339" s="3">
        <v>56</v>
      </c>
      <c r="N339" s="3" t="s">
        <v>167</v>
      </c>
      <c r="O339" s="3" t="s">
        <v>79</v>
      </c>
      <c r="P339" s="3" t="s">
        <v>28</v>
      </c>
      <c r="Q339" s="3">
        <v>35</v>
      </c>
      <c r="R339" s="3">
        <v>55533</v>
      </c>
      <c r="S339" s="3">
        <v>783</v>
      </c>
      <c r="T339" s="3" t="s">
        <v>45</v>
      </c>
      <c r="U339" s="3">
        <v>0</v>
      </c>
      <c r="V339" s="3">
        <v>2024</v>
      </c>
      <c r="W339" s="5" t="str">
        <f t="shared" si="20"/>
        <v>750+</v>
      </c>
      <c r="X339" s="5" t="str">
        <f t="shared" si="21"/>
        <v>Critical (&gt;75%)</v>
      </c>
      <c r="Y339" s="5" t="str">
        <f t="shared" si="22"/>
        <v>Self-Employed</v>
      </c>
      <c r="Z339" s="3" t="str">
        <f t="shared" si="23"/>
        <v>Consumer &amp; Personal</v>
      </c>
    </row>
    <row r="340" spans="1:26" ht="17.399999999999999" x14ac:dyDescent="0.35">
      <c r="A340" s="3" t="s">
        <v>697</v>
      </c>
      <c r="B340" s="3" t="s">
        <v>698</v>
      </c>
      <c r="C340" s="4">
        <v>45491</v>
      </c>
      <c r="D340" s="3" t="s">
        <v>61</v>
      </c>
      <c r="E340" s="3">
        <v>28600</v>
      </c>
      <c r="F340" s="3">
        <v>24</v>
      </c>
      <c r="G340" s="3">
        <v>8.6999999999999993</v>
      </c>
      <c r="H340" s="3">
        <v>1302.6500000000001</v>
      </c>
      <c r="I340" s="3">
        <v>64</v>
      </c>
      <c r="J340" s="3" t="s">
        <v>99</v>
      </c>
      <c r="K340" s="3">
        <v>15</v>
      </c>
      <c r="L340" s="3">
        <v>0</v>
      </c>
      <c r="M340" s="3">
        <v>45</v>
      </c>
      <c r="N340" s="3" t="s">
        <v>102</v>
      </c>
      <c r="O340" s="3" t="s">
        <v>43</v>
      </c>
      <c r="P340" s="3" t="s">
        <v>28</v>
      </c>
      <c r="Q340" s="3">
        <v>17</v>
      </c>
      <c r="R340" s="3">
        <v>89088</v>
      </c>
      <c r="S340" s="3">
        <v>765</v>
      </c>
      <c r="T340" s="3" t="s">
        <v>38</v>
      </c>
      <c r="U340" s="3">
        <v>0</v>
      </c>
      <c r="V340" s="3">
        <v>3452</v>
      </c>
      <c r="W340" s="5" t="str">
        <f t="shared" si="20"/>
        <v>750+</v>
      </c>
      <c r="X340" s="5" t="str">
        <f t="shared" si="21"/>
        <v>High (51-75%)</v>
      </c>
      <c r="Y340" s="5" t="str">
        <f t="shared" si="22"/>
        <v>Self-Employed</v>
      </c>
      <c r="Z340" s="3" t="str">
        <f t="shared" si="23"/>
        <v>Investment &amp; Growth</v>
      </c>
    </row>
    <row r="341" spans="1:26" ht="17.399999999999999" x14ac:dyDescent="0.35">
      <c r="A341" s="3" t="s">
        <v>699</v>
      </c>
      <c r="B341" s="3" t="s">
        <v>700</v>
      </c>
      <c r="C341" s="4">
        <v>45639</v>
      </c>
      <c r="D341" s="3" t="s">
        <v>64</v>
      </c>
      <c r="E341" s="3">
        <v>4500</v>
      </c>
      <c r="F341" s="3">
        <v>36</v>
      </c>
      <c r="G341" s="3">
        <v>11.88</v>
      </c>
      <c r="H341" s="3">
        <v>149.21</v>
      </c>
      <c r="I341" s="3">
        <v>22.8</v>
      </c>
      <c r="J341" s="3" t="s">
        <v>48</v>
      </c>
      <c r="K341" s="3">
        <v>0</v>
      </c>
      <c r="L341" s="3">
        <v>0</v>
      </c>
      <c r="M341" s="3">
        <v>37</v>
      </c>
      <c r="N341" s="3" t="s">
        <v>84</v>
      </c>
      <c r="O341" s="3" t="s">
        <v>79</v>
      </c>
      <c r="P341" s="3" t="s">
        <v>85</v>
      </c>
      <c r="Q341" s="3">
        <v>2</v>
      </c>
      <c r="R341" s="3">
        <v>30106</v>
      </c>
      <c r="S341" s="3">
        <v>703</v>
      </c>
      <c r="T341" s="3" t="s">
        <v>45</v>
      </c>
      <c r="U341" s="3">
        <v>2</v>
      </c>
      <c r="V341" s="3">
        <v>422</v>
      </c>
      <c r="W341" s="5" t="str">
        <f t="shared" si="20"/>
        <v>700-749</v>
      </c>
      <c r="X341" s="5" t="str">
        <f t="shared" si="21"/>
        <v>Low (&lt;=35%)</v>
      </c>
      <c r="Y341" s="5" t="str">
        <f t="shared" si="22"/>
        <v>Retired</v>
      </c>
      <c r="Z341" s="3" t="str">
        <f t="shared" si="23"/>
        <v>Investment &amp; Growth</v>
      </c>
    </row>
    <row r="342" spans="1:26" ht="17.399999999999999" x14ac:dyDescent="0.35">
      <c r="A342" s="3" t="s">
        <v>701</v>
      </c>
      <c r="B342" s="3" t="s">
        <v>700</v>
      </c>
      <c r="C342" s="4">
        <v>45432</v>
      </c>
      <c r="D342" s="3" t="s">
        <v>56</v>
      </c>
      <c r="E342" s="3">
        <v>36100</v>
      </c>
      <c r="F342" s="3">
        <v>12</v>
      </c>
      <c r="G342" s="3">
        <v>12.44</v>
      </c>
      <c r="H342" s="3">
        <v>3214.88</v>
      </c>
      <c r="I342" s="3">
        <v>145</v>
      </c>
      <c r="J342" s="3" t="s">
        <v>48</v>
      </c>
      <c r="K342" s="3">
        <v>0</v>
      </c>
      <c r="L342" s="3">
        <v>0</v>
      </c>
      <c r="M342" s="3">
        <v>37</v>
      </c>
      <c r="N342" s="3" t="s">
        <v>84</v>
      </c>
      <c r="O342" s="3" t="s">
        <v>79</v>
      </c>
      <c r="P342" s="3" t="s">
        <v>85</v>
      </c>
      <c r="Q342" s="3">
        <v>2</v>
      </c>
      <c r="R342" s="3">
        <v>30106</v>
      </c>
      <c r="S342" s="3">
        <v>703</v>
      </c>
      <c r="T342" s="3" t="s">
        <v>45</v>
      </c>
      <c r="U342" s="3">
        <v>2</v>
      </c>
      <c r="V342" s="3">
        <v>422</v>
      </c>
      <c r="W342" s="5" t="str">
        <f t="shared" si="20"/>
        <v>700-749</v>
      </c>
      <c r="X342" s="5" t="str">
        <f t="shared" si="21"/>
        <v>Critical (&gt;75%)</v>
      </c>
      <c r="Y342" s="5" t="str">
        <f t="shared" si="22"/>
        <v>Retired</v>
      </c>
      <c r="Z342" s="3" t="str">
        <f t="shared" si="23"/>
        <v>Consumer &amp; Personal</v>
      </c>
    </row>
    <row r="343" spans="1:26" ht="17.399999999999999" x14ac:dyDescent="0.35">
      <c r="A343" s="3" t="s">
        <v>702</v>
      </c>
      <c r="B343" s="3" t="s">
        <v>703</v>
      </c>
      <c r="C343" s="4">
        <v>45831</v>
      </c>
      <c r="D343" s="3" t="s">
        <v>41</v>
      </c>
      <c r="E343" s="3">
        <v>19700</v>
      </c>
      <c r="F343" s="3">
        <v>36</v>
      </c>
      <c r="G343" s="3">
        <v>10.74</v>
      </c>
      <c r="H343" s="3">
        <v>642.53</v>
      </c>
      <c r="I343" s="3">
        <v>25</v>
      </c>
      <c r="J343" s="3" t="s">
        <v>99</v>
      </c>
      <c r="K343" s="3">
        <v>30</v>
      </c>
      <c r="L343" s="3">
        <v>0</v>
      </c>
      <c r="M343" s="3">
        <v>59</v>
      </c>
      <c r="N343" s="3" t="s">
        <v>68</v>
      </c>
      <c r="O343" s="3" t="s">
        <v>43</v>
      </c>
      <c r="P343" s="3" t="s">
        <v>44</v>
      </c>
      <c r="Q343" s="3">
        <v>10</v>
      </c>
      <c r="R343" s="3">
        <v>79534</v>
      </c>
      <c r="S343" s="3">
        <v>754</v>
      </c>
      <c r="T343" s="3" t="s">
        <v>45</v>
      </c>
      <c r="U343" s="3">
        <v>0</v>
      </c>
      <c r="V343" s="3">
        <v>1017</v>
      </c>
      <c r="W343" s="5" t="str">
        <f t="shared" si="20"/>
        <v>750+</v>
      </c>
      <c r="X343" s="5" t="str">
        <f t="shared" si="21"/>
        <v>Low (&lt;=35%)</v>
      </c>
      <c r="Y343" s="5" t="str">
        <f t="shared" si="22"/>
        <v>Employed</v>
      </c>
      <c r="Z343" s="3" t="str">
        <f t="shared" si="23"/>
        <v>Debt &amp; Assets</v>
      </c>
    </row>
    <row r="344" spans="1:26" ht="17.399999999999999" x14ac:dyDescent="0.35">
      <c r="A344" s="3" t="s">
        <v>704</v>
      </c>
      <c r="B344" s="3" t="s">
        <v>703</v>
      </c>
      <c r="C344" s="4">
        <v>45488</v>
      </c>
      <c r="D344" s="3" t="s">
        <v>61</v>
      </c>
      <c r="E344" s="3">
        <v>31300</v>
      </c>
      <c r="F344" s="3">
        <v>24</v>
      </c>
      <c r="G344" s="3">
        <v>11.41</v>
      </c>
      <c r="H344" s="3">
        <v>1464.79</v>
      </c>
      <c r="I344" s="3">
        <v>37.4</v>
      </c>
      <c r="J344" s="3" t="s">
        <v>48</v>
      </c>
      <c r="K344" s="3">
        <v>0</v>
      </c>
      <c r="L344" s="3">
        <v>0</v>
      </c>
      <c r="M344" s="3">
        <v>59</v>
      </c>
      <c r="N344" s="3" t="s">
        <v>68</v>
      </c>
      <c r="O344" s="3" t="s">
        <v>43</v>
      </c>
      <c r="P344" s="3" t="s">
        <v>44</v>
      </c>
      <c r="Q344" s="3">
        <v>10</v>
      </c>
      <c r="R344" s="3">
        <v>79534</v>
      </c>
      <c r="S344" s="3">
        <v>754</v>
      </c>
      <c r="T344" s="3" t="s">
        <v>45</v>
      </c>
      <c r="U344" s="3">
        <v>0</v>
      </c>
      <c r="V344" s="3">
        <v>1017</v>
      </c>
      <c r="W344" s="5" t="str">
        <f t="shared" si="20"/>
        <v>750+</v>
      </c>
      <c r="X344" s="5" t="str">
        <f t="shared" si="21"/>
        <v>Manageable (36-50%)</v>
      </c>
      <c r="Y344" s="5" t="str">
        <f t="shared" si="22"/>
        <v>Employed</v>
      </c>
      <c r="Z344" s="3" t="str">
        <f t="shared" si="23"/>
        <v>Investment &amp; Growth</v>
      </c>
    </row>
    <row r="345" spans="1:26" ht="17.399999999999999" x14ac:dyDescent="0.35">
      <c r="A345" s="3" t="s">
        <v>705</v>
      </c>
      <c r="B345" s="3" t="s">
        <v>706</v>
      </c>
      <c r="C345" s="4">
        <v>45593</v>
      </c>
      <c r="D345" s="3" t="s">
        <v>64</v>
      </c>
      <c r="E345" s="3">
        <v>38600</v>
      </c>
      <c r="F345" s="3">
        <v>60</v>
      </c>
      <c r="G345" s="3">
        <v>10.6</v>
      </c>
      <c r="H345" s="3">
        <v>831.58</v>
      </c>
      <c r="I345" s="3">
        <v>31</v>
      </c>
      <c r="J345" s="3" t="s">
        <v>48</v>
      </c>
      <c r="K345" s="3">
        <v>0</v>
      </c>
      <c r="L345" s="3">
        <v>0</v>
      </c>
      <c r="M345" s="3">
        <v>25</v>
      </c>
      <c r="N345" s="3" t="s">
        <v>393</v>
      </c>
      <c r="O345" s="3" t="s">
        <v>43</v>
      </c>
      <c r="P345" s="3" t="s">
        <v>37</v>
      </c>
      <c r="Q345" s="3">
        <v>2</v>
      </c>
      <c r="R345" s="3">
        <v>78679</v>
      </c>
      <c r="S345" s="3">
        <v>621</v>
      </c>
      <c r="T345" s="3" t="s">
        <v>29</v>
      </c>
      <c r="U345" s="3">
        <v>0</v>
      </c>
      <c r="V345" s="3">
        <v>1204</v>
      </c>
      <c r="W345" s="5" t="str">
        <f t="shared" si="20"/>
        <v>600-649</v>
      </c>
      <c r="X345" s="5" t="str">
        <f t="shared" si="21"/>
        <v>Low (&lt;=35%)</v>
      </c>
      <c r="Y345" s="5" t="str">
        <f t="shared" si="22"/>
        <v>Employed</v>
      </c>
      <c r="Z345" s="3" t="str">
        <f t="shared" si="23"/>
        <v>Investment &amp; Growth</v>
      </c>
    </row>
    <row r="346" spans="1:26" ht="17.399999999999999" x14ac:dyDescent="0.35">
      <c r="A346" s="3" t="s">
        <v>707</v>
      </c>
      <c r="B346" s="3" t="s">
        <v>708</v>
      </c>
      <c r="C346" s="4">
        <v>45375</v>
      </c>
      <c r="D346" s="3" t="s">
        <v>56</v>
      </c>
      <c r="E346" s="3">
        <v>48500</v>
      </c>
      <c r="F346" s="3">
        <v>48</v>
      </c>
      <c r="G346" s="3">
        <v>8.6300000000000008</v>
      </c>
      <c r="H346" s="3">
        <v>1198.42</v>
      </c>
      <c r="I346" s="3">
        <v>58.9</v>
      </c>
      <c r="J346" s="3" t="s">
        <v>99</v>
      </c>
      <c r="K346" s="3">
        <v>0</v>
      </c>
      <c r="L346" s="3">
        <v>0</v>
      </c>
      <c r="M346" s="3">
        <v>54</v>
      </c>
      <c r="N346" s="3" t="s">
        <v>340</v>
      </c>
      <c r="O346" s="3" t="s">
        <v>58</v>
      </c>
      <c r="P346" s="3" t="s">
        <v>28</v>
      </c>
      <c r="Q346" s="3">
        <v>3</v>
      </c>
      <c r="R346" s="3">
        <v>76451</v>
      </c>
      <c r="S346" s="3">
        <v>745</v>
      </c>
      <c r="T346" s="3" t="s">
        <v>29</v>
      </c>
      <c r="U346" s="3">
        <v>2</v>
      </c>
      <c r="V346" s="3">
        <v>2552</v>
      </c>
      <c r="W346" s="5" t="str">
        <f t="shared" si="20"/>
        <v>700-749</v>
      </c>
      <c r="X346" s="5" t="str">
        <f t="shared" si="21"/>
        <v>High (51-75%)</v>
      </c>
      <c r="Y346" s="5" t="str">
        <f t="shared" si="22"/>
        <v>Self-Employed</v>
      </c>
      <c r="Z346" s="3" t="str">
        <f t="shared" si="23"/>
        <v>Consumer &amp; Personal</v>
      </c>
    </row>
    <row r="347" spans="1:26" ht="17.399999999999999" x14ac:dyDescent="0.35">
      <c r="A347" s="3" t="s">
        <v>709</v>
      </c>
      <c r="B347" s="3" t="s">
        <v>710</v>
      </c>
      <c r="C347" s="4">
        <v>45823</v>
      </c>
      <c r="D347" s="3" t="s">
        <v>31</v>
      </c>
      <c r="E347" s="3">
        <v>33000</v>
      </c>
      <c r="F347" s="3">
        <v>60</v>
      </c>
      <c r="G347" s="3">
        <v>9.6</v>
      </c>
      <c r="H347" s="3">
        <v>694.68</v>
      </c>
      <c r="I347" s="3">
        <v>38</v>
      </c>
      <c r="J347" s="3" t="s">
        <v>48</v>
      </c>
      <c r="K347" s="3">
        <v>0</v>
      </c>
      <c r="L347" s="3">
        <v>0</v>
      </c>
      <c r="M347" s="3">
        <v>30</v>
      </c>
      <c r="N347" s="3" t="s">
        <v>36</v>
      </c>
      <c r="O347" s="3" t="s">
        <v>79</v>
      </c>
      <c r="P347" s="3" t="s">
        <v>28</v>
      </c>
      <c r="Q347" s="3">
        <v>7</v>
      </c>
      <c r="R347" s="3">
        <v>67675</v>
      </c>
      <c r="S347" s="3">
        <v>736</v>
      </c>
      <c r="T347" s="3" t="s">
        <v>38</v>
      </c>
      <c r="U347" s="3">
        <v>0</v>
      </c>
      <c r="V347" s="3">
        <v>1450</v>
      </c>
      <c r="W347" s="5" t="str">
        <f t="shared" si="20"/>
        <v>700-749</v>
      </c>
      <c r="X347" s="5" t="str">
        <f t="shared" si="21"/>
        <v>Manageable (36-50%)</v>
      </c>
      <c r="Y347" s="5" t="str">
        <f t="shared" si="22"/>
        <v>Self-Employed</v>
      </c>
      <c r="Z347" s="3" t="str">
        <f t="shared" si="23"/>
        <v>Debt &amp; Assets</v>
      </c>
    </row>
    <row r="348" spans="1:26" ht="17.399999999999999" x14ac:dyDescent="0.35">
      <c r="A348" s="3" t="s">
        <v>711</v>
      </c>
      <c r="B348" s="3" t="s">
        <v>712</v>
      </c>
      <c r="C348" s="4">
        <v>45504</v>
      </c>
      <c r="D348" s="3" t="s">
        <v>24</v>
      </c>
      <c r="E348" s="3">
        <v>25800</v>
      </c>
      <c r="F348" s="3">
        <v>60</v>
      </c>
      <c r="G348" s="3">
        <v>10.98</v>
      </c>
      <c r="H348" s="3">
        <v>560.70000000000005</v>
      </c>
      <c r="I348" s="3">
        <v>37</v>
      </c>
      <c r="J348" s="3" t="s">
        <v>25</v>
      </c>
      <c r="K348" s="3">
        <v>0</v>
      </c>
      <c r="L348" s="3">
        <v>0</v>
      </c>
      <c r="M348" s="3">
        <v>50</v>
      </c>
      <c r="N348" s="3" t="s">
        <v>172</v>
      </c>
      <c r="O348" s="3" t="s">
        <v>27</v>
      </c>
      <c r="P348" s="3" t="s">
        <v>28</v>
      </c>
      <c r="Q348" s="3">
        <v>16</v>
      </c>
      <c r="R348" s="3">
        <v>49464</v>
      </c>
      <c r="S348" s="3">
        <v>736</v>
      </c>
      <c r="T348" s="3" t="s">
        <v>29</v>
      </c>
      <c r="U348" s="3">
        <v>3</v>
      </c>
      <c r="V348" s="3">
        <v>966</v>
      </c>
      <c r="W348" s="5" t="str">
        <f t="shared" si="20"/>
        <v>700-749</v>
      </c>
      <c r="X348" s="5" t="str">
        <f t="shared" si="21"/>
        <v>Manageable (36-50%)</v>
      </c>
      <c r="Y348" s="5" t="str">
        <f t="shared" si="22"/>
        <v>Self-Employed</v>
      </c>
      <c r="Z348" s="3" t="str">
        <f t="shared" si="23"/>
        <v>Consumer &amp; Personal</v>
      </c>
    </row>
    <row r="349" spans="1:26" ht="17.399999999999999" x14ac:dyDescent="0.35">
      <c r="A349" s="3" t="s">
        <v>713</v>
      </c>
      <c r="B349" s="3" t="s">
        <v>714</v>
      </c>
      <c r="C349" s="4">
        <v>45675</v>
      </c>
      <c r="D349" s="3" t="s">
        <v>41</v>
      </c>
      <c r="E349" s="3">
        <v>20100</v>
      </c>
      <c r="F349" s="3">
        <v>24</v>
      </c>
      <c r="G349" s="3">
        <v>14.98</v>
      </c>
      <c r="H349" s="3">
        <v>974.39</v>
      </c>
      <c r="I349" s="3">
        <v>26.1</v>
      </c>
      <c r="J349" s="3" t="s">
        <v>32</v>
      </c>
      <c r="K349" s="3">
        <v>51</v>
      </c>
      <c r="L349" s="3">
        <v>1</v>
      </c>
      <c r="M349" s="3">
        <v>53</v>
      </c>
      <c r="N349" s="3" t="s">
        <v>172</v>
      </c>
      <c r="O349" s="3" t="s">
        <v>79</v>
      </c>
      <c r="P349" s="3" t="s">
        <v>37</v>
      </c>
      <c r="Q349" s="3">
        <v>29</v>
      </c>
      <c r="R349" s="3">
        <v>65165</v>
      </c>
      <c r="S349" s="3">
        <v>582</v>
      </c>
      <c r="T349" s="3" t="s">
        <v>45</v>
      </c>
      <c r="U349" s="3">
        <v>1</v>
      </c>
      <c r="V349" s="3">
        <v>443</v>
      </c>
      <c r="W349" s="5" t="str">
        <f t="shared" si="20"/>
        <v>520-599</v>
      </c>
      <c r="X349" s="5" t="str">
        <f t="shared" si="21"/>
        <v>Low (&lt;=35%)</v>
      </c>
      <c r="Y349" s="5" t="str">
        <f t="shared" si="22"/>
        <v>Employed</v>
      </c>
      <c r="Z349" s="3" t="str">
        <f t="shared" si="23"/>
        <v>Debt &amp; Assets</v>
      </c>
    </row>
    <row r="350" spans="1:26" ht="17.399999999999999" x14ac:dyDescent="0.35">
      <c r="A350" s="3" t="s">
        <v>715</v>
      </c>
      <c r="B350" s="3" t="s">
        <v>716</v>
      </c>
      <c r="C350" s="4">
        <v>45768</v>
      </c>
      <c r="D350" s="3" t="s">
        <v>61</v>
      </c>
      <c r="E350" s="3">
        <v>19900</v>
      </c>
      <c r="F350" s="3">
        <v>24</v>
      </c>
      <c r="G350" s="3">
        <v>9.8699999999999992</v>
      </c>
      <c r="H350" s="3">
        <v>917.09</v>
      </c>
      <c r="I350" s="3">
        <v>53.6</v>
      </c>
      <c r="J350" s="3" t="s">
        <v>48</v>
      </c>
      <c r="K350" s="3">
        <v>0</v>
      </c>
      <c r="L350" s="3">
        <v>0</v>
      </c>
      <c r="M350" s="3">
        <v>56</v>
      </c>
      <c r="N350" s="3" t="s">
        <v>393</v>
      </c>
      <c r="O350" s="3" t="s">
        <v>43</v>
      </c>
      <c r="P350" s="3" t="s">
        <v>85</v>
      </c>
      <c r="Q350" s="3">
        <v>17</v>
      </c>
      <c r="R350" s="3">
        <v>55935</v>
      </c>
      <c r="S350" s="3">
        <v>783</v>
      </c>
      <c r="T350" s="3" t="s">
        <v>45</v>
      </c>
      <c r="U350" s="3">
        <v>1</v>
      </c>
      <c r="V350" s="3">
        <v>1580</v>
      </c>
      <c r="W350" s="5" t="str">
        <f t="shared" si="20"/>
        <v>750+</v>
      </c>
      <c r="X350" s="5" t="str">
        <f t="shared" si="21"/>
        <v>High (51-75%)</v>
      </c>
      <c r="Y350" s="5" t="str">
        <f t="shared" si="22"/>
        <v>Retired</v>
      </c>
      <c r="Z350" s="3" t="str">
        <f t="shared" si="23"/>
        <v>Investment &amp; Growth</v>
      </c>
    </row>
    <row r="351" spans="1:26" ht="17.399999999999999" x14ac:dyDescent="0.35">
      <c r="A351" s="3" t="s">
        <v>717</v>
      </c>
      <c r="B351" s="3" t="s">
        <v>718</v>
      </c>
      <c r="C351" s="4">
        <v>45744</v>
      </c>
      <c r="D351" s="3" t="s">
        <v>52</v>
      </c>
      <c r="E351" s="3">
        <v>17200</v>
      </c>
      <c r="F351" s="3">
        <v>48</v>
      </c>
      <c r="G351" s="3">
        <v>10.56</v>
      </c>
      <c r="H351" s="3">
        <v>440.88</v>
      </c>
      <c r="I351" s="3">
        <v>9.8000000000000007</v>
      </c>
      <c r="J351" s="3" t="s">
        <v>32</v>
      </c>
      <c r="K351" s="3">
        <v>49</v>
      </c>
      <c r="L351" s="3">
        <v>1</v>
      </c>
      <c r="M351" s="3">
        <v>58</v>
      </c>
      <c r="N351" s="3" t="s">
        <v>68</v>
      </c>
      <c r="O351" s="3" t="s">
        <v>72</v>
      </c>
      <c r="P351" s="3" t="s">
        <v>28</v>
      </c>
      <c r="Q351" s="3">
        <v>2</v>
      </c>
      <c r="R351" s="3">
        <v>131318</v>
      </c>
      <c r="S351" s="3">
        <v>574</v>
      </c>
      <c r="T351" s="3" t="s">
        <v>38</v>
      </c>
      <c r="U351" s="3">
        <v>3</v>
      </c>
      <c r="V351" s="3">
        <v>636</v>
      </c>
      <c r="W351" s="5" t="str">
        <f t="shared" si="20"/>
        <v>520-599</v>
      </c>
      <c r="X351" s="5" t="str">
        <f t="shared" si="21"/>
        <v>Low (&lt;=35%)</v>
      </c>
      <c r="Y351" s="5" t="str">
        <f t="shared" si="22"/>
        <v>Self-Employed</v>
      </c>
      <c r="Z351" s="3" t="str">
        <f t="shared" si="23"/>
        <v>Investment &amp; Growth</v>
      </c>
    </row>
    <row r="352" spans="1:26" ht="17.399999999999999" x14ac:dyDescent="0.35">
      <c r="A352" s="3" t="s">
        <v>719</v>
      </c>
      <c r="B352" s="3" t="s">
        <v>720</v>
      </c>
      <c r="C352" s="4">
        <v>45575</v>
      </c>
      <c r="D352" s="3" t="s">
        <v>61</v>
      </c>
      <c r="E352" s="3">
        <v>26100</v>
      </c>
      <c r="F352" s="3">
        <v>60</v>
      </c>
      <c r="G352" s="3">
        <v>12.42</v>
      </c>
      <c r="H352" s="3">
        <v>586.13</v>
      </c>
      <c r="I352" s="3">
        <v>19.899999999999999</v>
      </c>
      <c r="J352" s="3" t="s">
        <v>48</v>
      </c>
      <c r="K352" s="3">
        <v>0</v>
      </c>
      <c r="L352" s="3">
        <v>0</v>
      </c>
      <c r="M352" s="3">
        <v>32</v>
      </c>
      <c r="N352" s="3" t="s">
        <v>26</v>
      </c>
      <c r="O352" s="3" t="s">
        <v>43</v>
      </c>
      <c r="P352" s="3" t="s">
        <v>37</v>
      </c>
      <c r="Q352" s="3">
        <v>11</v>
      </c>
      <c r="R352" s="3">
        <v>101722</v>
      </c>
      <c r="S352" s="3">
        <v>648</v>
      </c>
      <c r="T352" s="3" t="s">
        <v>29</v>
      </c>
      <c r="U352" s="3">
        <v>2</v>
      </c>
      <c r="V352" s="3">
        <v>1097</v>
      </c>
      <c r="W352" s="5" t="str">
        <f t="shared" si="20"/>
        <v>600-649</v>
      </c>
      <c r="X352" s="5" t="str">
        <f t="shared" si="21"/>
        <v>Low (&lt;=35%)</v>
      </c>
      <c r="Y352" s="5" t="str">
        <f t="shared" si="22"/>
        <v>Employed</v>
      </c>
      <c r="Z352" s="3" t="str">
        <f t="shared" si="23"/>
        <v>Investment &amp; Growth</v>
      </c>
    </row>
    <row r="353" spans="1:26" ht="17.399999999999999" x14ac:dyDescent="0.35">
      <c r="A353" s="3" t="s">
        <v>721</v>
      </c>
      <c r="B353" s="3" t="s">
        <v>722</v>
      </c>
      <c r="C353" s="4">
        <v>45573</v>
      </c>
      <c r="D353" s="3" t="s">
        <v>64</v>
      </c>
      <c r="E353" s="3">
        <v>12600</v>
      </c>
      <c r="F353" s="3">
        <v>36</v>
      </c>
      <c r="G353" s="3">
        <v>11.36</v>
      </c>
      <c r="H353" s="3">
        <v>414.66</v>
      </c>
      <c r="I353" s="3">
        <v>62.4</v>
      </c>
      <c r="J353" s="3" t="s">
        <v>32</v>
      </c>
      <c r="K353" s="3">
        <v>65</v>
      </c>
      <c r="L353" s="3">
        <v>1</v>
      </c>
      <c r="M353" s="3">
        <v>39</v>
      </c>
      <c r="N353" s="3" t="s">
        <v>393</v>
      </c>
      <c r="O353" s="3" t="s">
        <v>27</v>
      </c>
      <c r="P353" s="3" t="s">
        <v>37</v>
      </c>
      <c r="Q353" s="3">
        <v>1</v>
      </c>
      <c r="R353" s="3">
        <v>25301</v>
      </c>
      <c r="S353" s="3">
        <v>609</v>
      </c>
      <c r="T353" s="3" t="s">
        <v>45</v>
      </c>
      <c r="U353" s="3">
        <v>2</v>
      </c>
      <c r="V353" s="3">
        <v>901</v>
      </c>
      <c r="W353" s="5" t="str">
        <f t="shared" si="20"/>
        <v>600-649</v>
      </c>
      <c r="X353" s="5" t="str">
        <f t="shared" si="21"/>
        <v>High (51-75%)</v>
      </c>
      <c r="Y353" s="5" t="str">
        <f t="shared" si="22"/>
        <v>Employed</v>
      </c>
      <c r="Z353" s="3" t="str">
        <f t="shared" si="23"/>
        <v>Investment &amp; Growth</v>
      </c>
    </row>
    <row r="354" spans="1:26" ht="17.399999999999999" x14ac:dyDescent="0.35">
      <c r="A354" s="3" t="s">
        <v>723</v>
      </c>
      <c r="B354" s="3" t="s">
        <v>724</v>
      </c>
      <c r="C354" s="4">
        <v>45646</v>
      </c>
      <c r="D354" s="3" t="s">
        <v>35</v>
      </c>
      <c r="E354" s="3">
        <v>2400</v>
      </c>
      <c r="F354" s="3">
        <v>36</v>
      </c>
      <c r="G354" s="3">
        <v>8.51</v>
      </c>
      <c r="H354" s="3">
        <v>75.77</v>
      </c>
      <c r="I354" s="3">
        <v>29.5</v>
      </c>
      <c r="J354" s="3" t="s">
        <v>48</v>
      </c>
      <c r="K354" s="3">
        <v>0</v>
      </c>
      <c r="L354" s="3">
        <v>0</v>
      </c>
      <c r="M354" s="3">
        <v>49</v>
      </c>
      <c r="N354" s="3" t="s">
        <v>62</v>
      </c>
      <c r="O354" s="3" t="s">
        <v>43</v>
      </c>
      <c r="P354" s="3" t="s">
        <v>28</v>
      </c>
      <c r="Q354" s="3">
        <v>2</v>
      </c>
      <c r="R354" s="3">
        <v>40669</v>
      </c>
      <c r="S354" s="3">
        <v>774</v>
      </c>
      <c r="T354" s="3" t="s">
        <v>38</v>
      </c>
      <c r="U354" s="3">
        <v>1</v>
      </c>
      <c r="V354" s="3">
        <v>923</v>
      </c>
      <c r="W354" s="5" t="str">
        <f t="shared" si="20"/>
        <v>750+</v>
      </c>
      <c r="X354" s="5" t="str">
        <f t="shared" si="21"/>
        <v>Low (&lt;=35%)</v>
      </c>
      <c r="Y354" s="5" t="str">
        <f t="shared" si="22"/>
        <v>Self-Employed</v>
      </c>
      <c r="Z354" s="3" t="str">
        <f t="shared" si="23"/>
        <v>Consumer &amp; Personal</v>
      </c>
    </row>
    <row r="355" spans="1:26" ht="17.399999999999999" x14ac:dyDescent="0.35">
      <c r="A355" s="3" t="s">
        <v>725</v>
      </c>
      <c r="B355" s="3" t="s">
        <v>724</v>
      </c>
      <c r="C355" s="4">
        <v>45444</v>
      </c>
      <c r="D355" s="3" t="s">
        <v>77</v>
      </c>
      <c r="E355" s="3">
        <v>2600</v>
      </c>
      <c r="F355" s="3">
        <v>60</v>
      </c>
      <c r="G355" s="3">
        <v>12.05</v>
      </c>
      <c r="H355" s="3">
        <v>57.9</v>
      </c>
      <c r="I355" s="3">
        <v>28.9</v>
      </c>
      <c r="J355" s="3" t="s">
        <v>25</v>
      </c>
      <c r="K355" s="3">
        <v>0</v>
      </c>
      <c r="L355" s="3">
        <v>0</v>
      </c>
      <c r="M355" s="3">
        <v>49</v>
      </c>
      <c r="N355" s="3" t="s">
        <v>62</v>
      </c>
      <c r="O355" s="3" t="s">
        <v>43</v>
      </c>
      <c r="P355" s="3" t="s">
        <v>28</v>
      </c>
      <c r="Q355" s="3">
        <v>2</v>
      </c>
      <c r="R355" s="3">
        <v>40669</v>
      </c>
      <c r="S355" s="3">
        <v>774</v>
      </c>
      <c r="T355" s="3" t="s">
        <v>38</v>
      </c>
      <c r="U355" s="3">
        <v>1</v>
      </c>
      <c r="V355" s="3">
        <v>923</v>
      </c>
      <c r="W355" s="5" t="str">
        <f t="shared" si="20"/>
        <v>750+</v>
      </c>
      <c r="X355" s="5" t="str">
        <f t="shared" si="21"/>
        <v>Low (&lt;=35%)</v>
      </c>
      <c r="Y355" s="5" t="str">
        <f t="shared" si="22"/>
        <v>Self-Employed</v>
      </c>
      <c r="Z355" s="3" t="str">
        <f t="shared" si="23"/>
        <v>Consumer &amp; Personal</v>
      </c>
    </row>
    <row r="356" spans="1:26" ht="17.399999999999999" x14ac:dyDescent="0.35">
      <c r="A356" s="3" t="s">
        <v>726</v>
      </c>
      <c r="B356" s="3" t="s">
        <v>727</v>
      </c>
      <c r="C356" s="4">
        <v>45764</v>
      </c>
      <c r="D356" s="3" t="s">
        <v>64</v>
      </c>
      <c r="E356" s="3">
        <v>39700</v>
      </c>
      <c r="F356" s="3">
        <v>48</v>
      </c>
      <c r="G356" s="3">
        <v>10.93</v>
      </c>
      <c r="H356" s="3">
        <v>1024.72</v>
      </c>
      <c r="I356" s="3">
        <v>21.3</v>
      </c>
      <c r="J356" s="3" t="s">
        <v>25</v>
      </c>
      <c r="K356" s="3">
        <v>0</v>
      </c>
      <c r="L356" s="3">
        <v>0</v>
      </c>
      <c r="M356" s="3">
        <v>22</v>
      </c>
      <c r="N356" s="3" t="s">
        <v>53</v>
      </c>
      <c r="O356" s="3" t="s">
        <v>43</v>
      </c>
      <c r="P356" s="3" t="s">
        <v>44</v>
      </c>
      <c r="Q356" s="3">
        <v>2</v>
      </c>
      <c r="R356" s="3">
        <v>103644</v>
      </c>
      <c r="S356" s="3">
        <v>761</v>
      </c>
      <c r="T356" s="3" t="s">
        <v>38</v>
      </c>
      <c r="U356" s="3">
        <v>0</v>
      </c>
      <c r="V356" s="3">
        <v>817</v>
      </c>
      <c r="W356" s="5" t="str">
        <f t="shared" si="20"/>
        <v>750+</v>
      </c>
      <c r="X356" s="5" t="str">
        <f t="shared" si="21"/>
        <v>Low (&lt;=35%)</v>
      </c>
      <c r="Y356" s="5" t="str">
        <f t="shared" si="22"/>
        <v>Employed</v>
      </c>
      <c r="Z356" s="3" t="str">
        <f t="shared" si="23"/>
        <v>Investment &amp; Growth</v>
      </c>
    </row>
    <row r="357" spans="1:26" ht="17.399999999999999" x14ac:dyDescent="0.35">
      <c r="A357" s="3" t="s">
        <v>728</v>
      </c>
      <c r="B357" s="3" t="s">
        <v>729</v>
      </c>
      <c r="C357" s="4">
        <v>45434</v>
      </c>
      <c r="D357" s="3" t="s">
        <v>31</v>
      </c>
      <c r="E357" s="3">
        <v>9300</v>
      </c>
      <c r="F357" s="3">
        <v>60</v>
      </c>
      <c r="G357" s="3">
        <v>8.15</v>
      </c>
      <c r="H357" s="3">
        <v>189.24</v>
      </c>
      <c r="I357" s="3">
        <v>38.4</v>
      </c>
      <c r="J357" s="3" t="s">
        <v>25</v>
      </c>
      <c r="K357" s="3">
        <v>0</v>
      </c>
      <c r="L357" s="3">
        <v>0</v>
      </c>
      <c r="M357" s="3">
        <v>28</v>
      </c>
      <c r="N357" s="3" t="s">
        <v>135</v>
      </c>
      <c r="O357" s="3" t="s">
        <v>27</v>
      </c>
      <c r="P357" s="3" t="s">
        <v>37</v>
      </c>
      <c r="Q357" s="3">
        <v>2</v>
      </c>
      <c r="R357" s="3">
        <v>32933</v>
      </c>
      <c r="S357" s="3">
        <v>720</v>
      </c>
      <c r="T357" s="3" t="s">
        <v>45</v>
      </c>
      <c r="U357" s="3">
        <v>0</v>
      </c>
      <c r="V357" s="3">
        <v>865</v>
      </c>
      <c r="W357" s="5" t="str">
        <f t="shared" si="20"/>
        <v>700-749</v>
      </c>
      <c r="X357" s="5" t="str">
        <f t="shared" si="21"/>
        <v>Manageable (36-50%)</v>
      </c>
      <c r="Y357" s="5" t="str">
        <f t="shared" si="22"/>
        <v>Employed</v>
      </c>
      <c r="Z357" s="3" t="str">
        <f t="shared" si="23"/>
        <v>Debt &amp; Assets</v>
      </c>
    </row>
    <row r="358" spans="1:26" ht="17.399999999999999" x14ac:dyDescent="0.35">
      <c r="A358" s="3" t="s">
        <v>730</v>
      </c>
      <c r="B358" s="3" t="s">
        <v>731</v>
      </c>
      <c r="C358" s="4">
        <v>45598</v>
      </c>
      <c r="D358" s="3" t="s">
        <v>52</v>
      </c>
      <c r="E358" s="3">
        <v>19900</v>
      </c>
      <c r="F358" s="3">
        <v>48</v>
      </c>
      <c r="G358" s="3">
        <v>13.08</v>
      </c>
      <c r="H358" s="3">
        <v>534.66</v>
      </c>
      <c r="I358" s="3">
        <v>49.5</v>
      </c>
      <c r="J358" s="3" t="s">
        <v>25</v>
      </c>
      <c r="K358" s="3">
        <v>0</v>
      </c>
      <c r="L358" s="3">
        <v>0</v>
      </c>
      <c r="M358" s="3">
        <v>22</v>
      </c>
      <c r="N358" s="3" t="s">
        <v>71</v>
      </c>
      <c r="O358" s="3" t="s">
        <v>43</v>
      </c>
      <c r="P358" s="3" t="s">
        <v>37</v>
      </c>
      <c r="Q358" s="3">
        <v>2</v>
      </c>
      <c r="R358" s="3">
        <v>63005</v>
      </c>
      <c r="S358" s="3">
        <v>644</v>
      </c>
      <c r="T358" s="3" t="s">
        <v>29</v>
      </c>
      <c r="U358" s="3">
        <v>1</v>
      </c>
      <c r="V358" s="3">
        <v>2064</v>
      </c>
      <c r="W358" s="5" t="str">
        <f t="shared" si="20"/>
        <v>600-649</v>
      </c>
      <c r="X358" s="5" t="str">
        <f t="shared" si="21"/>
        <v>Manageable (36-50%)</v>
      </c>
      <c r="Y358" s="5" t="str">
        <f t="shared" si="22"/>
        <v>Employed</v>
      </c>
      <c r="Z358" s="3" t="str">
        <f t="shared" si="23"/>
        <v>Investment &amp; Growth</v>
      </c>
    </row>
    <row r="359" spans="1:26" ht="17.399999999999999" x14ac:dyDescent="0.35">
      <c r="A359" s="3" t="s">
        <v>732</v>
      </c>
      <c r="B359" s="3" t="s">
        <v>733</v>
      </c>
      <c r="C359" s="4">
        <v>45692</v>
      </c>
      <c r="D359" s="3" t="s">
        <v>56</v>
      </c>
      <c r="E359" s="3">
        <v>49700</v>
      </c>
      <c r="F359" s="3">
        <v>60</v>
      </c>
      <c r="G359" s="3">
        <v>9.3000000000000007</v>
      </c>
      <c r="H359" s="3">
        <v>1038.94</v>
      </c>
      <c r="I359" s="3">
        <v>37.5</v>
      </c>
      <c r="J359" s="3" t="s">
        <v>48</v>
      </c>
      <c r="K359" s="3">
        <v>0</v>
      </c>
      <c r="L359" s="3">
        <v>0</v>
      </c>
      <c r="M359" s="3">
        <v>35</v>
      </c>
      <c r="N359" s="3" t="s">
        <v>102</v>
      </c>
      <c r="O359" s="3" t="s">
        <v>27</v>
      </c>
      <c r="P359" s="3" t="s">
        <v>37</v>
      </c>
      <c r="Q359" s="3">
        <v>12</v>
      </c>
      <c r="R359" s="3">
        <v>48886</v>
      </c>
      <c r="S359" s="3">
        <v>831</v>
      </c>
      <c r="T359" s="3" t="s">
        <v>45</v>
      </c>
      <c r="U359" s="3">
        <v>1</v>
      </c>
      <c r="V359" s="3">
        <v>488</v>
      </c>
      <c r="W359" s="5" t="str">
        <f t="shared" si="20"/>
        <v>750+</v>
      </c>
      <c r="X359" s="5" t="str">
        <f t="shared" si="21"/>
        <v>Manageable (36-50%)</v>
      </c>
      <c r="Y359" s="5" t="str">
        <f t="shared" si="22"/>
        <v>Employed</v>
      </c>
      <c r="Z359" s="3" t="str">
        <f t="shared" si="23"/>
        <v>Consumer &amp; Personal</v>
      </c>
    </row>
    <row r="360" spans="1:26" ht="17.399999999999999" x14ac:dyDescent="0.35">
      <c r="A360" s="3" t="s">
        <v>734</v>
      </c>
      <c r="B360" s="3" t="s">
        <v>733</v>
      </c>
      <c r="C360" s="4">
        <v>45754</v>
      </c>
      <c r="D360" s="3" t="s">
        <v>35</v>
      </c>
      <c r="E360" s="3">
        <v>18800</v>
      </c>
      <c r="F360" s="3">
        <v>36</v>
      </c>
      <c r="G360" s="3">
        <v>9</v>
      </c>
      <c r="H360" s="3">
        <v>597.83000000000004</v>
      </c>
      <c r="I360" s="3">
        <v>26.7</v>
      </c>
      <c r="J360" s="3" t="s">
        <v>48</v>
      </c>
      <c r="K360" s="3">
        <v>0</v>
      </c>
      <c r="L360" s="3">
        <v>0</v>
      </c>
      <c r="M360" s="3">
        <v>35</v>
      </c>
      <c r="N360" s="3" t="s">
        <v>102</v>
      </c>
      <c r="O360" s="3" t="s">
        <v>27</v>
      </c>
      <c r="P360" s="3" t="s">
        <v>37</v>
      </c>
      <c r="Q360" s="3">
        <v>12</v>
      </c>
      <c r="R360" s="3">
        <v>48886</v>
      </c>
      <c r="S360" s="3">
        <v>831</v>
      </c>
      <c r="T360" s="3" t="s">
        <v>45</v>
      </c>
      <c r="U360" s="3">
        <v>1</v>
      </c>
      <c r="V360" s="3">
        <v>488</v>
      </c>
      <c r="W360" s="5" t="str">
        <f t="shared" si="20"/>
        <v>750+</v>
      </c>
      <c r="X360" s="5" t="str">
        <f t="shared" si="21"/>
        <v>Low (&lt;=35%)</v>
      </c>
      <c r="Y360" s="5" t="str">
        <f t="shared" si="22"/>
        <v>Employed</v>
      </c>
      <c r="Z360" s="3" t="str">
        <f t="shared" si="23"/>
        <v>Consumer &amp; Personal</v>
      </c>
    </row>
    <row r="361" spans="1:26" ht="17.399999999999999" x14ac:dyDescent="0.35">
      <c r="A361" s="3" t="s">
        <v>735</v>
      </c>
      <c r="B361" s="3" t="s">
        <v>736</v>
      </c>
      <c r="C361" s="4">
        <v>45495</v>
      </c>
      <c r="D361" s="3" t="s">
        <v>56</v>
      </c>
      <c r="E361" s="3">
        <v>19000</v>
      </c>
      <c r="F361" s="3">
        <v>48</v>
      </c>
      <c r="G361" s="3">
        <v>6.03</v>
      </c>
      <c r="H361" s="3">
        <v>446.48</v>
      </c>
      <c r="I361" s="3">
        <v>54.1</v>
      </c>
      <c r="J361" s="3" t="s">
        <v>32</v>
      </c>
      <c r="K361" s="3">
        <v>128</v>
      </c>
      <c r="L361" s="3">
        <v>1</v>
      </c>
      <c r="M361" s="3">
        <v>39</v>
      </c>
      <c r="N361" s="3" t="s">
        <v>172</v>
      </c>
      <c r="O361" s="3" t="s">
        <v>43</v>
      </c>
      <c r="P361" s="3" t="s">
        <v>37</v>
      </c>
      <c r="Q361" s="3">
        <v>9</v>
      </c>
      <c r="R361" s="3">
        <v>78943</v>
      </c>
      <c r="S361" s="3">
        <v>846</v>
      </c>
      <c r="T361" s="3" t="s">
        <v>29</v>
      </c>
      <c r="U361" s="3">
        <v>0</v>
      </c>
      <c r="V361" s="3">
        <v>3115</v>
      </c>
      <c r="W361" s="5" t="str">
        <f t="shared" si="20"/>
        <v>750+</v>
      </c>
      <c r="X361" s="5" t="str">
        <f t="shared" si="21"/>
        <v>High (51-75%)</v>
      </c>
      <c r="Y361" s="5" t="str">
        <f t="shared" si="22"/>
        <v>Employed</v>
      </c>
      <c r="Z361" s="3" t="str">
        <f t="shared" si="23"/>
        <v>Consumer &amp; Personal</v>
      </c>
    </row>
    <row r="362" spans="1:26" ht="17.399999999999999" x14ac:dyDescent="0.35">
      <c r="A362" s="3" t="s">
        <v>737</v>
      </c>
      <c r="B362" s="3" t="s">
        <v>738</v>
      </c>
      <c r="C362" s="4">
        <v>45822</v>
      </c>
      <c r="D362" s="3" t="s">
        <v>64</v>
      </c>
      <c r="E362" s="3">
        <v>8100</v>
      </c>
      <c r="F362" s="3">
        <v>48</v>
      </c>
      <c r="G362" s="3">
        <v>8.1999999999999993</v>
      </c>
      <c r="H362" s="3">
        <v>198.51</v>
      </c>
      <c r="I362" s="3">
        <v>64.099999999999994</v>
      </c>
      <c r="J362" s="3" t="s">
        <v>32</v>
      </c>
      <c r="K362" s="3">
        <v>113</v>
      </c>
      <c r="L362" s="3">
        <v>1</v>
      </c>
      <c r="M362" s="3">
        <v>41</v>
      </c>
      <c r="N362" s="3" t="s">
        <v>68</v>
      </c>
      <c r="O362" s="3" t="s">
        <v>79</v>
      </c>
      <c r="P362" s="3" t="s">
        <v>73</v>
      </c>
      <c r="Q362" s="3">
        <v>9</v>
      </c>
      <c r="R362" s="3">
        <v>20963</v>
      </c>
      <c r="S362" s="3">
        <v>725</v>
      </c>
      <c r="T362" s="3" t="s">
        <v>45</v>
      </c>
      <c r="U362" s="3">
        <v>3</v>
      </c>
      <c r="V362" s="3">
        <v>921</v>
      </c>
      <c r="W362" s="5" t="str">
        <f t="shared" si="20"/>
        <v>700-749</v>
      </c>
      <c r="X362" s="5" t="str">
        <f t="shared" si="21"/>
        <v>High (51-75%)</v>
      </c>
      <c r="Y362" s="5" t="str">
        <f t="shared" si="22"/>
        <v>Employed</v>
      </c>
      <c r="Z362" s="3" t="str">
        <f t="shared" si="23"/>
        <v>Investment &amp; Growth</v>
      </c>
    </row>
    <row r="363" spans="1:26" ht="17.399999999999999" x14ac:dyDescent="0.35">
      <c r="A363" s="3" t="s">
        <v>739</v>
      </c>
      <c r="B363" s="3" t="s">
        <v>740</v>
      </c>
      <c r="C363" s="4">
        <v>45781</v>
      </c>
      <c r="D363" s="3" t="s">
        <v>31</v>
      </c>
      <c r="E363" s="3">
        <v>49500</v>
      </c>
      <c r="F363" s="3">
        <v>24</v>
      </c>
      <c r="G363" s="3">
        <v>13.08</v>
      </c>
      <c r="H363" s="3">
        <v>2355.1799999999998</v>
      </c>
      <c r="I363" s="3">
        <v>86.4</v>
      </c>
      <c r="J363" s="3" t="s">
        <v>25</v>
      </c>
      <c r="K363" s="3">
        <v>0</v>
      </c>
      <c r="L363" s="3">
        <v>0</v>
      </c>
      <c r="M363" s="3">
        <v>53</v>
      </c>
      <c r="N363" s="3" t="s">
        <v>96</v>
      </c>
      <c r="O363" s="3" t="s">
        <v>43</v>
      </c>
      <c r="P363" s="3" t="s">
        <v>37</v>
      </c>
      <c r="Q363" s="3">
        <v>33</v>
      </c>
      <c r="R363" s="3">
        <v>81309</v>
      </c>
      <c r="S363" s="3">
        <v>576</v>
      </c>
      <c r="T363" s="3" t="s">
        <v>29</v>
      </c>
      <c r="U363" s="3">
        <v>4</v>
      </c>
      <c r="V363" s="3">
        <v>3502</v>
      </c>
      <c r="W363" s="5" t="str">
        <f t="shared" si="20"/>
        <v>520-599</v>
      </c>
      <c r="X363" s="5" t="str">
        <f t="shared" si="21"/>
        <v>Critical (&gt;75%)</v>
      </c>
      <c r="Y363" s="5" t="str">
        <f t="shared" si="22"/>
        <v>Employed</v>
      </c>
      <c r="Z363" s="3" t="str">
        <f t="shared" si="23"/>
        <v>Debt &amp; Assets</v>
      </c>
    </row>
    <row r="364" spans="1:26" ht="17.399999999999999" x14ac:dyDescent="0.35">
      <c r="A364" s="3" t="s">
        <v>741</v>
      </c>
      <c r="B364" s="3" t="s">
        <v>740</v>
      </c>
      <c r="C364" s="4">
        <v>45778</v>
      </c>
      <c r="D364" s="3" t="s">
        <v>64</v>
      </c>
      <c r="E364" s="3">
        <v>9200</v>
      </c>
      <c r="F364" s="3">
        <v>48</v>
      </c>
      <c r="G364" s="3">
        <v>14.49</v>
      </c>
      <c r="H364" s="3">
        <v>253.67</v>
      </c>
      <c r="I364" s="3">
        <v>55.4</v>
      </c>
      <c r="J364" s="3" t="s">
        <v>32</v>
      </c>
      <c r="K364" s="3">
        <v>177</v>
      </c>
      <c r="L364" s="3">
        <v>1</v>
      </c>
      <c r="M364" s="3">
        <v>53</v>
      </c>
      <c r="N364" s="3" t="s">
        <v>96</v>
      </c>
      <c r="O364" s="3" t="s">
        <v>43</v>
      </c>
      <c r="P364" s="3" t="s">
        <v>37</v>
      </c>
      <c r="Q364" s="3">
        <v>33</v>
      </c>
      <c r="R364" s="3">
        <v>81309</v>
      </c>
      <c r="S364" s="3">
        <v>576</v>
      </c>
      <c r="T364" s="3" t="s">
        <v>29</v>
      </c>
      <c r="U364" s="3">
        <v>4</v>
      </c>
      <c r="V364" s="3">
        <v>3502</v>
      </c>
      <c r="W364" s="5" t="str">
        <f t="shared" si="20"/>
        <v>520-599</v>
      </c>
      <c r="X364" s="5" t="str">
        <f t="shared" si="21"/>
        <v>High (51-75%)</v>
      </c>
      <c r="Y364" s="5" t="str">
        <f t="shared" si="22"/>
        <v>Employed</v>
      </c>
      <c r="Z364" s="3" t="str">
        <f t="shared" si="23"/>
        <v>Investment &amp; Growth</v>
      </c>
    </row>
    <row r="365" spans="1:26" ht="17.399999999999999" x14ac:dyDescent="0.35">
      <c r="A365" s="3" t="s">
        <v>742</v>
      </c>
      <c r="B365" s="3" t="s">
        <v>743</v>
      </c>
      <c r="C365" s="4">
        <v>45299</v>
      </c>
      <c r="D365" s="3" t="s">
        <v>77</v>
      </c>
      <c r="E365" s="3">
        <v>26800</v>
      </c>
      <c r="F365" s="3">
        <v>48</v>
      </c>
      <c r="G365" s="3">
        <v>7.81</v>
      </c>
      <c r="H365" s="3">
        <v>651.88</v>
      </c>
      <c r="I365" s="3">
        <v>55.1</v>
      </c>
      <c r="J365" s="3" t="s">
        <v>25</v>
      </c>
      <c r="K365" s="3">
        <v>0</v>
      </c>
      <c r="L365" s="3">
        <v>0</v>
      </c>
      <c r="M365" s="3">
        <v>30</v>
      </c>
      <c r="N365" s="3" t="s">
        <v>123</v>
      </c>
      <c r="O365" s="3" t="s">
        <v>43</v>
      </c>
      <c r="P365" s="3" t="s">
        <v>44</v>
      </c>
      <c r="Q365" s="3">
        <v>10</v>
      </c>
      <c r="R365" s="3">
        <v>67451</v>
      </c>
      <c r="S365" s="3">
        <v>814</v>
      </c>
      <c r="T365" s="3" t="s">
        <v>38</v>
      </c>
      <c r="U365" s="3">
        <v>4</v>
      </c>
      <c r="V365" s="3">
        <v>2446</v>
      </c>
      <c r="W365" s="5" t="str">
        <f t="shared" si="20"/>
        <v>750+</v>
      </c>
      <c r="X365" s="5" t="str">
        <f t="shared" si="21"/>
        <v>High (51-75%)</v>
      </c>
      <c r="Y365" s="5" t="str">
        <f t="shared" si="22"/>
        <v>Employed</v>
      </c>
      <c r="Z365" s="3" t="str">
        <f t="shared" si="23"/>
        <v>Consumer &amp; Personal</v>
      </c>
    </row>
    <row r="366" spans="1:26" ht="17.399999999999999" x14ac:dyDescent="0.35">
      <c r="A366" s="3" t="s">
        <v>744</v>
      </c>
      <c r="B366" s="3" t="s">
        <v>743</v>
      </c>
      <c r="C366" s="4">
        <v>45763</v>
      </c>
      <c r="D366" s="3" t="s">
        <v>77</v>
      </c>
      <c r="E366" s="3">
        <v>27200</v>
      </c>
      <c r="F366" s="3">
        <v>60</v>
      </c>
      <c r="G366" s="3">
        <v>10.83</v>
      </c>
      <c r="H366" s="3">
        <v>589.09</v>
      </c>
      <c r="I366" s="3">
        <v>54</v>
      </c>
      <c r="J366" s="3" t="s">
        <v>48</v>
      </c>
      <c r="K366" s="3">
        <v>0</v>
      </c>
      <c r="L366" s="3">
        <v>0</v>
      </c>
      <c r="M366" s="3">
        <v>30</v>
      </c>
      <c r="N366" s="3" t="s">
        <v>123</v>
      </c>
      <c r="O366" s="3" t="s">
        <v>43</v>
      </c>
      <c r="P366" s="3" t="s">
        <v>44</v>
      </c>
      <c r="Q366" s="3">
        <v>10</v>
      </c>
      <c r="R366" s="3">
        <v>67451</v>
      </c>
      <c r="S366" s="3">
        <v>814</v>
      </c>
      <c r="T366" s="3" t="s">
        <v>38</v>
      </c>
      <c r="U366" s="3">
        <v>4</v>
      </c>
      <c r="V366" s="3">
        <v>2446</v>
      </c>
      <c r="W366" s="5" t="str">
        <f t="shared" si="20"/>
        <v>750+</v>
      </c>
      <c r="X366" s="5" t="str">
        <f t="shared" si="21"/>
        <v>High (51-75%)</v>
      </c>
      <c r="Y366" s="5" t="str">
        <f t="shared" si="22"/>
        <v>Employed</v>
      </c>
      <c r="Z366" s="3" t="str">
        <f t="shared" si="23"/>
        <v>Consumer &amp; Personal</v>
      </c>
    </row>
    <row r="367" spans="1:26" ht="17.399999999999999" x14ac:dyDescent="0.35">
      <c r="A367" s="3" t="s">
        <v>745</v>
      </c>
      <c r="B367" s="3" t="s">
        <v>746</v>
      </c>
      <c r="C367" s="4">
        <v>45471</v>
      </c>
      <c r="D367" s="3" t="s">
        <v>24</v>
      </c>
      <c r="E367" s="3">
        <v>33100</v>
      </c>
      <c r="F367" s="3">
        <v>36</v>
      </c>
      <c r="G367" s="3">
        <v>12.62</v>
      </c>
      <c r="H367" s="3">
        <v>1109.22</v>
      </c>
      <c r="I367" s="3">
        <v>67.8</v>
      </c>
      <c r="J367" s="3" t="s">
        <v>32</v>
      </c>
      <c r="K367" s="3">
        <v>75</v>
      </c>
      <c r="L367" s="3">
        <v>1</v>
      </c>
      <c r="M367" s="3">
        <v>23</v>
      </c>
      <c r="N367" s="3" t="s">
        <v>36</v>
      </c>
      <c r="O367" s="3" t="s">
        <v>43</v>
      </c>
      <c r="P367" s="3" t="s">
        <v>37</v>
      </c>
      <c r="Q367" s="3">
        <v>3</v>
      </c>
      <c r="R367" s="3">
        <v>54364</v>
      </c>
      <c r="S367" s="3">
        <v>560</v>
      </c>
      <c r="T367" s="3" t="s">
        <v>45</v>
      </c>
      <c r="U367" s="3">
        <v>2</v>
      </c>
      <c r="V367" s="3">
        <v>1964</v>
      </c>
      <c r="W367" s="5" t="str">
        <f t="shared" si="20"/>
        <v>520-599</v>
      </c>
      <c r="X367" s="5" t="str">
        <f t="shared" si="21"/>
        <v>High (51-75%)</v>
      </c>
      <c r="Y367" s="5" t="str">
        <f t="shared" si="22"/>
        <v>Employed</v>
      </c>
      <c r="Z367" s="3" t="str">
        <f t="shared" si="23"/>
        <v>Consumer &amp; Personal</v>
      </c>
    </row>
    <row r="368" spans="1:26" ht="17.399999999999999" x14ac:dyDescent="0.35">
      <c r="A368" s="3" t="s">
        <v>747</v>
      </c>
      <c r="B368" s="3" t="s">
        <v>748</v>
      </c>
      <c r="C368" s="4">
        <v>45389</v>
      </c>
      <c r="D368" s="3" t="s">
        <v>31</v>
      </c>
      <c r="E368" s="3">
        <v>45700</v>
      </c>
      <c r="F368" s="3">
        <v>24</v>
      </c>
      <c r="G368" s="3">
        <v>9.33</v>
      </c>
      <c r="H368" s="3">
        <v>2094.7199999999998</v>
      </c>
      <c r="I368" s="3">
        <v>76</v>
      </c>
      <c r="J368" s="3" t="s">
        <v>99</v>
      </c>
      <c r="K368" s="3">
        <v>15</v>
      </c>
      <c r="L368" s="3">
        <v>0</v>
      </c>
      <c r="M368" s="3">
        <v>49</v>
      </c>
      <c r="N368" s="3" t="s">
        <v>393</v>
      </c>
      <c r="O368" s="3" t="s">
        <v>72</v>
      </c>
      <c r="P368" s="3" t="s">
        <v>37</v>
      </c>
      <c r="Q368" s="3">
        <v>4</v>
      </c>
      <c r="R368" s="3">
        <v>100637</v>
      </c>
      <c r="S368" s="3">
        <v>850</v>
      </c>
      <c r="T368" s="3" t="s">
        <v>45</v>
      </c>
      <c r="U368" s="3">
        <v>0</v>
      </c>
      <c r="V368" s="3">
        <v>4280</v>
      </c>
      <c r="W368" s="5" t="str">
        <f t="shared" si="20"/>
        <v>750+</v>
      </c>
      <c r="X368" s="5" t="str">
        <f t="shared" si="21"/>
        <v>Critical (&gt;75%)</v>
      </c>
      <c r="Y368" s="5" t="str">
        <f t="shared" si="22"/>
        <v>Employed</v>
      </c>
      <c r="Z368" s="3" t="str">
        <f t="shared" si="23"/>
        <v>Debt &amp; Assets</v>
      </c>
    </row>
    <row r="369" spans="1:26" ht="17.399999999999999" x14ac:dyDescent="0.35">
      <c r="A369" s="3" t="s">
        <v>749</v>
      </c>
      <c r="B369" s="3" t="s">
        <v>748</v>
      </c>
      <c r="C369" s="4">
        <v>45360</v>
      </c>
      <c r="D369" s="3" t="s">
        <v>56</v>
      </c>
      <c r="E369" s="3">
        <v>32100</v>
      </c>
      <c r="F369" s="3">
        <v>36</v>
      </c>
      <c r="G369" s="3">
        <v>9.17</v>
      </c>
      <c r="H369" s="3">
        <v>1023.31</v>
      </c>
      <c r="I369" s="3">
        <v>63.2</v>
      </c>
      <c r="J369" s="3" t="s">
        <v>48</v>
      </c>
      <c r="K369" s="3">
        <v>0</v>
      </c>
      <c r="L369" s="3">
        <v>0</v>
      </c>
      <c r="M369" s="3">
        <v>49</v>
      </c>
      <c r="N369" s="3" t="s">
        <v>393</v>
      </c>
      <c r="O369" s="3" t="s">
        <v>72</v>
      </c>
      <c r="P369" s="3" t="s">
        <v>37</v>
      </c>
      <c r="Q369" s="3">
        <v>4</v>
      </c>
      <c r="R369" s="3">
        <v>100637</v>
      </c>
      <c r="S369" s="3">
        <v>850</v>
      </c>
      <c r="T369" s="3" t="s">
        <v>45</v>
      </c>
      <c r="U369" s="3">
        <v>0</v>
      </c>
      <c r="V369" s="3">
        <v>4280</v>
      </c>
      <c r="W369" s="5" t="str">
        <f t="shared" si="20"/>
        <v>750+</v>
      </c>
      <c r="X369" s="5" t="str">
        <f t="shared" si="21"/>
        <v>High (51-75%)</v>
      </c>
      <c r="Y369" s="5" t="str">
        <f t="shared" si="22"/>
        <v>Employed</v>
      </c>
      <c r="Z369" s="3" t="str">
        <f t="shared" si="23"/>
        <v>Consumer &amp; Personal</v>
      </c>
    </row>
    <row r="370" spans="1:26" ht="17.399999999999999" x14ac:dyDescent="0.35">
      <c r="A370" s="3" t="s">
        <v>750</v>
      </c>
      <c r="B370" s="3" t="s">
        <v>751</v>
      </c>
      <c r="C370" s="4">
        <v>45625</v>
      </c>
      <c r="D370" s="3" t="s">
        <v>35</v>
      </c>
      <c r="E370" s="3">
        <v>14600</v>
      </c>
      <c r="F370" s="3">
        <v>12</v>
      </c>
      <c r="G370" s="3">
        <v>8.36</v>
      </c>
      <c r="H370" s="3">
        <v>1272.46</v>
      </c>
      <c r="I370" s="3">
        <v>66.099999999999994</v>
      </c>
      <c r="J370" s="3" t="s">
        <v>48</v>
      </c>
      <c r="K370" s="3">
        <v>0</v>
      </c>
      <c r="L370" s="3">
        <v>0</v>
      </c>
      <c r="M370" s="3">
        <v>31</v>
      </c>
      <c r="N370" s="3" t="s">
        <v>102</v>
      </c>
      <c r="O370" s="3" t="s">
        <v>43</v>
      </c>
      <c r="P370" s="3" t="s">
        <v>37</v>
      </c>
      <c r="Q370" s="3">
        <v>1</v>
      </c>
      <c r="R370" s="3">
        <v>81067</v>
      </c>
      <c r="S370" s="3">
        <v>850</v>
      </c>
      <c r="T370" s="3" t="s">
        <v>45</v>
      </c>
      <c r="U370" s="3">
        <v>2</v>
      </c>
      <c r="V370" s="3">
        <v>3196</v>
      </c>
      <c r="W370" s="5" t="str">
        <f t="shared" si="20"/>
        <v>750+</v>
      </c>
      <c r="X370" s="5" t="str">
        <f t="shared" si="21"/>
        <v>High (51-75%)</v>
      </c>
      <c r="Y370" s="5" t="str">
        <f t="shared" si="22"/>
        <v>Employed</v>
      </c>
      <c r="Z370" s="3" t="str">
        <f t="shared" si="23"/>
        <v>Consumer &amp; Personal</v>
      </c>
    </row>
    <row r="371" spans="1:26" ht="17.399999999999999" x14ac:dyDescent="0.35">
      <c r="A371" s="3" t="s">
        <v>752</v>
      </c>
      <c r="B371" s="3" t="s">
        <v>753</v>
      </c>
      <c r="C371" s="4">
        <v>45700</v>
      </c>
      <c r="D371" s="3" t="s">
        <v>67</v>
      </c>
      <c r="E371" s="3">
        <v>6200</v>
      </c>
      <c r="F371" s="3">
        <v>48</v>
      </c>
      <c r="G371" s="3">
        <v>7.94</v>
      </c>
      <c r="H371" s="3">
        <v>151.19</v>
      </c>
      <c r="I371" s="3">
        <v>50.7</v>
      </c>
      <c r="J371" s="3" t="s">
        <v>48</v>
      </c>
      <c r="K371" s="3">
        <v>0</v>
      </c>
      <c r="L371" s="3">
        <v>0</v>
      </c>
      <c r="M371" s="3">
        <v>25</v>
      </c>
      <c r="N371" s="3" t="s">
        <v>135</v>
      </c>
      <c r="O371" s="3" t="s">
        <v>79</v>
      </c>
      <c r="P371" s="3" t="s">
        <v>85</v>
      </c>
      <c r="Q371" s="3">
        <v>4</v>
      </c>
      <c r="R371" s="3">
        <v>20854</v>
      </c>
      <c r="S371" s="3">
        <v>838</v>
      </c>
      <c r="T371" s="3" t="s">
        <v>38</v>
      </c>
      <c r="U371" s="3">
        <v>2</v>
      </c>
      <c r="V371" s="3">
        <v>730</v>
      </c>
      <c r="W371" s="5" t="str">
        <f t="shared" si="20"/>
        <v>750+</v>
      </c>
      <c r="X371" s="5" t="str">
        <f t="shared" si="21"/>
        <v>High (51-75%)</v>
      </c>
      <c r="Y371" s="5" t="str">
        <f t="shared" si="22"/>
        <v>Retired</v>
      </c>
      <c r="Z371" s="3" t="str">
        <f t="shared" si="23"/>
        <v>Debt &amp; Assets</v>
      </c>
    </row>
    <row r="372" spans="1:26" ht="17.399999999999999" x14ac:dyDescent="0.35">
      <c r="A372" s="3" t="s">
        <v>754</v>
      </c>
      <c r="B372" s="3" t="s">
        <v>755</v>
      </c>
      <c r="C372" s="4">
        <v>45376</v>
      </c>
      <c r="D372" s="3" t="s">
        <v>56</v>
      </c>
      <c r="E372" s="3">
        <v>12300</v>
      </c>
      <c r="F372" s="3">
        <v>48</v>
      </c>
      <c r="G372" s="3">
        <v>9.32</v>
      </c>
      <c r="H372" s="3">
        <v>307.95999999999998</v>
      </c>
      <c r="I372" s="3">
        <v>34.200000000000003</v>
      </c>
      <c r="J372" s="3" t="s">
        <v>25</v>
      </c>
      <c r="K372" s="3">
        <v>0</v>
      </c>
      <c r="L372" s="3">
        <v>0</v>
      </c>
      <c r="M372" s="3">
        <v>29</v>
      </c>
      <c r="N372" s="3" t="s">
        <v>68</v>
      </c>
      <c r="O372" s="3" t="s">
        <v>27</v>
      </c>
      <c r="P372" s="3" t="s">
        <v>37</v>
      </c>
      <c r="Q372" s="3">
        <v>5</v>
      </c>
      <c r="R372" s="3">
        <v>22799</v>
      </c>
      <c r="S372" s="3">
        <v>779</v>
      </c>
      <c r="T372" s="3" t="s">
        <v>45</v>
      </c>
      <c r="U372" s="3">
        <v>3</v>
      </c>
      <c r="V372" s="3">
        <v>341</v>
      </c>
      <c r="W372" s="5" t="str">
        <f t="shared" si="20"/>
        <v>750+</v>
      </c>
      <c r="X372" s="5" t="str">
        <f t="shared" si="21"/>
        <v>Low (&lt;=35%)</v>
      </c>
      <c r="Y372" s="5" t="str">
        <f t="shared" si="22"/>
        <v>Employed</v>
      </c>
      <c r="Z372" s="3" t="str">
        <f t="shared" si="23"/>
        <v>Consumer &amp; Personal</v>
      </c>
    </row>
    <row r="373" spans="1:26" ht="17.399999999999999" x14ac:dyDescent="0.35">
      <c r="A373" s="3" t="s">
        <v>756</v>
      </c>
      <c r="B373" s="3" t="s">
        <v>757</v>
      </c>
      <c r="C373" s="4">
        <v>45473</v>
      </c>
      <c r="D373" s="3" t="s">
        <v>41</v>
      </c>
      <c r="E373" s="3">
        <v>8800</v>
      </c>
      <c r="F373" s="3">
        <v>12</v>
      </c>
      <c r="G373" s="3">
        <v>13.28</v>
      </c>
      <c r="H373" s="3">
        <v>787.15</v>
      </c>
      <c r="I373" s="3">
        <v>48.2</v>
      </c>
      <c r="J373" s="3" t="s">
        <v>32</v>
      </c>
      <c r="K373" s="3">
        <v>166</v>
      </c>
      <c r="L373" s="3">
        <v>1</v>
      </c>
      <c r="M373" s="3">
        <v>45</v>
      </c>
      <c r="N373" s="3" t="s">
        <v>128</v>
      </c>
      <c r="O373" s="3" t="s">
        <v>27</v>
      </c>
      <c r="P373" s="3" t="s">
        <v>28</v>
      </c>
      <c r="Q373" s="3">
        <v>24</v>
      </c>
      <c r="R373" s="3">
        <v>31860</v>
      </c>
      <c r="S373" s="3">
        <v>585</v>
      </c>
      <c r="T373" s="3" t="s">
        <v>29</v>
      </c>
      <c r="U373" s="3">
        <v>3</v>
      </c>
      <c r="V373" s="3">
        <v>493</v>
      </c>
      <c r="W373" s="5" t="str">
        <f t="shared" si="20"/>
        <v>520-599</v>
      </c>
      <c r="X373" s="5" t="str">
        <f t="shared" si="21"/>
        <v>Manageable (36-50%)</v>
      </c>
      <c r="Y373" s="5" t="str">
        <f t="shared" si="22"/>
        <v>Self-Employed</v>
      </c>
      <c r="Z373" s="3" t="str">
        <f t="shared" si="23"/>
        <v>Debt &amp; Assets</v>
      </c>
    </row>
    <row r="374" spans="1:26" ht="17.399999999999999" x14ac:dyDescent="0.35">
      <c r="A374" s="3" t="s">
        <v>758</v>
      </c>
      <c r="B374" s="3" t="s">
        <v>759</v>
      </c>
      <c r="C374" s="4">
        <v>45658</v>
      </c>
      <c r="D374" s="3" t="s">
        <v>56</v>
      </c>
      <c r="E374" s="3">
        <v>11000</v>
      </c>
      <c r="F374" s="3">
        <v>36</v>
      </c>
      <c r="G374" s="3">
        <v>7.78</v>
      </c>
      <c r="H374" s="3">
        <v>343.58</v>
      </c>
      <c r="I374" s="3">
        <v>45.1</v>
      </c>
      <c r="J374" s="3" t="s">
        <v>25</v>
      </c>
      <c r="K374" s="3">
        <v>0</v>
      </c>
      <c r="L374" s="3">
        <v>0</v>
      </c>
      <c r="M374" s="3">
        <v>26</v>
      </c>
      <c r="N374" s="3" t="s">
        <v>49</v>
      </c>
      <c r="O374" s="3" t="s">
        <v>79</v>
      </c>
      <c r="P374" s="3" t="s">
        <v>85</v>
      </c>
      <c r="Q374" s="3">
        <v>3</v>
      </c>
      <c r="R374" s="3">
        <v>35035</v>
      </c>
      <c r="S374" s="3">
        <v>779</v>
      </c>
      <c r="T374" s="3" t="s">
        <v>45</v>
      </c>
      <c r="U374" s="3">
        <v>1</v>
      </c>
      <c r="V374" s="3">
        <v>973</v>
      </c>
      <c r="W374" s="5" t="str">
        <f t="shared" si="20"/>
        <v>750+</v>
      </c>
      <c r="X374" s="5" t="str">
        <f t="shared" si="21"/>
        <v>Manageable (36-50%)</v>
      </c>
      <c r="Y374" s="5" t="str">
        <f t="shared" si="22"/>
        <v>Retired</v>
      </c>
      <c r="Z374" s="3" t="str">
        <f t="shared" si="23"/>
        <v>Consumer &amp; Personal</v>
      </c>
    </row>
    <row r="375" spans="1:26" ht="17.399999999999999" x14ac:dyDescent="0.35">
      <c r="A375" s="3" t="s">
        <v>760</v>
      </c>
      <c r="B375" s="3" t="s">
        <v>761</v>
      </c>
      <c r="C375" s="4">
        <v>45397</v>
      </c>
      <c r="D375" s="3" t="s">
        <v>24</v>
      </c>
      <c r="E375" s="3">
        <v>42200</v>
      </c>
      <c r="F375" s="3">
        <v>60</v>
      </c>
      <c r="G375" s="3">
        <v>13.39</v>
      </c>
      <c r="H375" s="3">
        <v>968.63</v>
      </c>
      <c r="I375" s="3">
        <v>69.7</v>
      </c>
      <c r="J375" s="3" t="s">
        <v>32</v>
      </c>
      <c r="K375" s="3">
        <v>108</v>
      </c>
      <c r="L375" s="3">
        <v>1</v>
      </c>
      <c r="M375" s="3">
        <v>45</v>
      </c>
      <c r="N375" s="3" t="s">
        <v>96</v>
      </c>
      <c r="O375" s="3" t="s">
        <v>27</v>
      </c>
      <c r="P375" s="3" t="s">
        <v>28</v>
      </c>
      <c r="Q375" s="3">
        <v>7</v>
      </c>
      <c r="R375" s="3">
        <v>53878</v>
      </c>
      <c r="S375" s="3">
        <v>589</v>
      </c>
      <c r="T375" s="3" t="s">
        <v>29</v>
      </c>
      <c r="U375" s="3">
        <v>0</v>
      </c>
      <c r="V375" s="3">
        <v>2161</v>
      </c>
      <c r="W375" s="5" t="str">
        <f t="shared" si="20"/>
        <v>520-599</v>
      </c>
      <c r="X375" s="5" t="str">
        <f t="shared" si="21"/>
        <v>High (51-75%)</v>
      </c>
      <c r="Y375" s="5" t="str">
        <f t="shared" si="22"/>
        <v>Self-Employed</v>
      </c>
      <c r="Z375" s="3" t="str">
        <f t="shared" si="23"/>
        <v>Consumer &amp; Personal</v>
      </c>
    </row>
    <row r="376" spans="1:26" ht="17.399999999999999" x14ac:dyDescent="0.35">
      <c r="A376" s="3" t="s">
        <v>762</v>
      </c>
      <c r="B376" s="3" t="s">
        <v>763</v>
      </c>
      <c r="C376" s="4">
        <v>45675</v>
      </c>
      <c r="D376" s="3" t="s">
        <v>77</v>
      </c>
      <c r="E376" s="3">
        <v>13400</v>
      </c>
      <c r="F376" s="3">
        <v>24</v>
      </c>
      <c r="G376" s="3">
        <v>14.29</v>
      </c>
      <c r="H376" s="3">
        <v>645.21</v>
      </c>
      <c r="I376" s="3">
        <v>51.9</v>
      </c>
      <c r="J376" s="3" t="s">
        <v>48</v>
      </c>
      <c r="K376" s="3">
        <v>0</v>
      </c>
      <c r="L376" s="3">
        <v>0</v>
      </c>
      <c r="M376" s="3">
        <v>37</v>
      </c>
      <c r="N376" s="3" t="s">
        <v>71</v>
      </c>
      <c r="O376" s="3" t="s">
        <v>27</v>
      </c>
      <c r="P376" s="3" t="s">
        <v>37</v>
      </c>
      <c r="Q376" s="3">
        <v>1</v>
      </c>
      <c r="R376" s="3">
        <v>54791</v>
      </c>
      <c r="S376" s="3">
        <v>621</v>
      </c>
      <c r="T376" s="3" t="s">
        <v>45</v>
      </c>
      <c r="U376" s="3">
        <v>2</v>
      </c>
      <c r="V376" s="3">
        <v>1725</v>
      </c>
      <c r="W376" s="5" t="str">
        <f t="shared" si="20"/>
        <v>600-649</v>
      </c>
      <c r="X376" s="5" t="str">
        <f t="shared" si="21"/>
        <v>High (51-75%)</v>
      </c>
      <c r="Y376" s="5" t="str">
        <f t="shared" si="22"/>
        <v>Employed</v>
      </c>
      <c r="Z376" s="3" t="str">
        <f t="shared" si="23"/>
        <v>Consumer &amp; Personal</v>
      </c>
    </row>
    <row r="377" spans="1:26" ht="17.399999999999999" x14ac:dyDescent="0.35">
      <c r="A377" s="3" t="s">
        <v>764</v>
      </c>
      <c r="B377" s="3" t="s">
        <v>765</v>
      </c>
      <c r="C377" s="4">
        <v>45390</v>
      </c>
      <c r="D377" s="3" t="s">
        <v>67</v>
      </c>
      <c r="E377" s="3">
        <v>10100</v>
      </c>
      <c r="F377" s="3">
        <v>12</v>
      </c>
      <c r="G377" s="3">
        <v>9.89</v>
      </c>
      <c r="H377" s="3">
        <v>887.43</v>
      </c>
      <c r="I377" s="3">
        <v>67.099999999999994</v>
      </c>
      <c r="J377" s="3" t="s">
        <v>48</v>
      </c>
      <c r="K377" s="3">
        <v>0</v>
      </c>
      <c r="L377" s="3">
        <v>0</v>
      </c>
      <c r="M377" s="3">
        <v>36</v>
      </c>
      <c r="N377" s="3" t="s">
        <v>84</v>
      </c>
      <c r="O377" s="3" t="s">
        <v>79</v>
      </c>
      <c r="P377" s="3" t="s">
        <v>37</v>
      </c>
      <c r="Q377" s="3">
        <v>2</v>
      </c>
      <c r="R377" s="3">
        <v>62677</v>
      </c>
      <c r="S377" s="3">
        <v>673</v>
      </c>
      <c r="T377" s="3" t="s">
        <v>45</v>
      </c>
      <c r="U377" s="3">
        <v>1</v>
      </c>
      <c r="V377" s="3">
        <v>2616</v>
      </c>
      <c r="W377" s="5" t="str">
        <f t="shared" si="20"/>
        <v>650-699</v>
      </c>
      <c r="X377" s="5" t="str">
        <f t="shared" si="21"/>
        <v>High (51-75%)</v>
      </c>
      <c r="Y377" s="5" t="str">
        <f t="shared" si="22"/>
        <v>Employed</v>
      </c>
      <c r="Z377" s="3" t="str">
        <f t="shared" si="23"/>
        <v>Debt &amp; Assets</v>
      </c>
    </row>
    <row r="378" spans="1:26" ht="17.399999999999999" x14ac:dyDescent="0.35">
      <c r="A378" s="3" t="s">
        <v>766</v>
      </c>
      <c r="B378" s="3" t="s">
        <v>767</v>
      </c>
      <c r="C378" s="4">
        <v>45486</v>
      </c>
      <c r="D378" s="3" t="s">
        <v>31</v>
      </c>
      <c r="E378" s="3">
        <v>23900</v>
      </c>
      <c r="F378" s="3">
        <v>36</v>
      </c>
      <c r="G378" s="3">
        <v>10.64</v>
      </c>
      <c r="H378" s="3">
        <v>778.39</v>
      </c>
      <c r="I378" s="3">
        <v>76.8</v>
      </c>
      <c r="J378" s="3" t="s">
        <v>99</v>
      </c>
      <c r="K378" s="3">
        <v>15</v>
      </c>
      <c r="L378" s="3">
        <v>0</v>
      </c>
      <c r="M378" s="3">
        <v>33</v>
      </c>
      <c r="N378" s="3" t="s">
        <v>340</v>
      </c>
      <c r="O378" s="3" t="s">
        <v>79</v>
      </c>
      <c r="P378" s="3" t="s">
        <v>37</v>
      </c>
      <c r="Q378" s="3">
        <v>1</v>
      </c>
      <c r="R378" s="3">
        <v>31521</v>
      </c>
      <c r="S378" s="3">
        <v>730</v>
      </c>
      <c r="T378" s="3" t="s">
        <v>29</v>
      </c>
      <c r="U378" s="3">
        <v>0</v>
      </c>
      <c r="V378" s="3">
        <v>1240</v>
      </c>
      <c r="W378" s="5" t="str">
        <f t="shared" si="20"/>
        <v>700-749</v>
      </c>
      <c r="X378" s="5" t="str">
        <f t="shared" si="21"/>
        <v>Critical (&gt;75%)</v>
      </c>
      <c r="Y378" s="5" t="str">
        <f t="shared" si="22"/>
        <v>Employed</v>
      </c>
      <c r="Z378" s="3" t="str">
        <f t="shared" si="23"/>
        <v>Debt &amp; Assets</v>
      </c>
    </row>
    <row r="379" spans="1:26" ht="17.399999999999999" x14ac:dyDescent="0.35">
      <c r="A379" s="3" t="s">
        <v>768</v>
      </c>
      <c r="B379" s="3" t="s">
        <v>769</v>
      </c>
      <c r="C379" s="4">
        <v>45615</v>
      </c>
      <c r="D379" s="3" t="s">
        <v>64</v>
      </c>
      <c r="E379" s="3">
        <v>8300</v>
      </c>
      <c r="F379" s="3">
        <v>24</v>
      </c>
      <c r="G379" s="3">
        <v>8.84</v>
      </c>
      <c r="H379" s="3">
        <v>378.57</v>
      </c>
      <c r="I379" s="3">
        <v>41</v>
      </c>
      <c r="J379" s="3" t="s">
        <v>32</v>
      </c>
      <c r="K379" s="3">
        <v>84</v>
      </c>
      <c r="L379" s="3">
        <v>1</v>
      </c>
      <c r="M379" s="3">
        <v>42</v>
      </c>
      <c r="N379" s="3" t="s">
        <v>89</v>
      </c>
      <c r="O379" s="3" t="s">
        <v>27</v>
      </c>
      <c r="P379" s="3" t="s">
        <v>37</v>
      </c>
      <c r="Q379" s="3">
        <v>18</v>
      </c>
      <c r="R379" s="3">
        <v>35385</v>
      </c>
      <c r="S379" s="3">
        <v>674</v>
      </c>
      <c r="T379" s="3" t="s">
        <v>29</v>
      </c>
      <c r="U379" s="3">
        <v>2</v>
      </c>
      <c r="V379" s="3">
        <v>831</v>
      </c>
      <c r="W379" s="5" t="str">
        <f t="shared" si="20"/>
        <v>650-699</v>
      </c>
      <c r="X379" s="5" t="str">
        <f t="shared" si="21"/>
        <v>Manageable (36-50%)</v>
      </c>
      <c r="Y379" s="5" t="str">
        <f t="shared" si="22"/>
        <v>Employed</v>
      </c>
      <c r="Z379" s="3" t="str">
        <f t="shared" si="23"/>
        <v>Investment &amp; Growth</v>
      </c>
    </row>
    <row r="380" spans="1:26" ht="17.399999999999999" x14ac:dyDescent="0.35">
      <c r="A380" s="3" t="s">
        <v>770</v>
      </c>
      <c r="B380" s="3" t="s">
        <v>771</v>
      </c>
      <c r="C380" s="4">
        <v>45360</v>
      </c>
      <c r="D380" s="3" t="s">
        <v>61</v>
      </c>
      <c r="E380" s="3">
        <v>15400</v>
      </c>
      <c r="F380" s="3">
        <v>60</v>
      </c>
      <c r="G380" s="3">
        <v>8.19</v>
      </c>
      <c r="H380" s="3">
        <v>313.66000000000003</v>
      </c>
      <c r="I380" s="3">
        <v>20.9</v>
      </c>
      <c r="J380" s="3" t="s">
        <v>25</v>
      </c>
      <c r="K380" s="3">
        <v>0</v>
      </c>
      <c r="L380" s="3">
        <v>0</v>
      </c>
      <c r="M380" s="3">
        <v>59</v>
      </c>
      <c r="N380" s="3" t="s">
        <v>71</v>
      </c>
      <c r="O380" s="3" t="s">
        <v>58</v>
      </c>
      <c r="P380" s="3" t="s">
        <v>85</v>
      </c>
      <c r="Q380" s="3">
        <v>15</v>
      </c>
      <c r="R380" s="3">
        <v>88548</v>
      </c>
      <c r="S380" s="3">
        <v>819</v>
      </c>
      <c r="T380" s="3" t="s">
        <v>38</v>
      </c>
      <c r="U380" s="3">
        <v>1</v>
      </c>
      <c r="V380" s="3">
        <v>1228</v>
      </c>
      <c r="W380" s="5" t="str">
        <f t="shared" si="20"/>
        <v>750+</v>
      </c>
      <c r="X380" s="5" t="str">
        <f t="shared" si="21"/>
        <v>Low (&lt;=35%)</v>
      </c>
      <c r="Y380" s="5" t="str">
        <f t="shared" si="22"/>
        <v>Retired</v>
      </c>
      <c r="Z380" s="3" t="str">
        <f t="shared" si="23"/>
        <v>Investment &amp; Growth</v>
      </c>
    </row>
    <row r="381" spans="1:26" ht="17.399999999999999" x14ac:dyDescent="0.35">
      <c r="A381" s="3" t="s">
        <v>772</v>
      </c>
      <c r="B381" s="3" t="s">
        <v>773</v>
      </c>
      <c r="C381" s="4">
        <v>45389</v>
      </c>
      <c r="D381" s="3" t="s">
        <v>61</v>
      </c>
      <c r="E381" s="3">
        <v>38100</v>
      </c>
      <c r="F381" s="3">
        <v>60</v>
      </c>
      <c r="G381" s="3">
        <v>9.17</v>
      </c>
      <c r="H381" s="3">
        <v>794.04</v>
      </c>
      <c r="I381" s="3">
        <v>64.5</v>
      </c>
      <c r="J381" s="3" t="s">
        <v>99</v>
      </c>
      <c r="K381" s="3">
        <v>30</v>
      </c>
      <c r="L381" s="3">
        <v>0</v>
      </c>
      <c r="M381" s="3">
        <v>44</v>
      </c>
      <c r="N381" s="3" t="s">
        <v>78</v>
      </c>
      <c r="O381" s="3" t="s">
        <v>43</v>
      </c>
      <c r="P381" s="3" t="s">
        <v>28</v>
      </c>
      <c r="Q381" s="3">
        <v>0</v>
      </c>
      <c r="R381" s="3">
        <v>41212</v>
      </c>
      <c r="S381" s="3">
        <v>701</v>
      </c>
      <c r="T381" s="3" t="s">
        <v>29</v>
      </c>
      <c r="U381" s="3">
        <v>3</v>
      </c>
      <c r="V381" s="3">
        <v>1420</v>
      </c>
      <c r="W381" s="5" t="str">
        <f t="shared" si="20"/>
        <v>700-749</v>
      </c>
      <c r="X381" s="5" t="str">
        <f t="shared" si="21"/>
        <v>High (51-75%)</v>
      </c>
      <c r="Y381" s="5" t="str">
        <f t="shared" si="22"/>
        <v>Self-Employed</v>
      </c>
      <c r="Z381" s="3" t="str">
        <f t="shared" si="23"/>
        <v>Investment &amp; Growth</v>
      </c>
    </row>
    <row r="382" spans="1:26" ht="17.399999999999999" x14ac:dyDescent="0.35">
      <c r="A382" s="3" t="s">
        <v>774</v>
      </c>
      <c r="B382" s="3" t="s">
        <v>775</v>
      </c>
      <c r="C382" s="4">
        <v>45785</v>
      </c>
      <c r="D382" s="3" t="s">
        <v>56</v>
      </c>
      <c r="E382" s="3">
        <v>13700</v>
      </c>
      <c r="F382" s="3">
        <v>36</v>
      </c>
      <c r="G382" s="3">
        <v>15.64</v>
      </c>
      <c r="H382" s="3">
        <v>479.22</v>
      </c>
      <c r="I382" s="3">
        <v>36.200000000000003</v>
      </c>
      <c r="J382" s="3" t="s">
        <v>32</v>
      </c>
      <c r="K382" s="3">
        <v>34</v>
      </c>
      <c r="L382" s="3">
        <v>1</v>
      </c>
      <c r="M382" s="3">
        <v>28</v>
      </c>
      <c r="N382" s="3" t="s">
        <v>53</v>
      </c>
      <c r="O382" s="3" t="s">
        <v>79</v>
      </c>
      <c r="P382" s="3" t="s">
        <v>85</v>
      </c>
      <c r="Q382" s="3">
        <v>2</v>
      </c>
      <c r="R382" s="3">
        <v>29277</v>
      </c>
      <c r="S382" s="3">
        <v>555</v>
      </c>
      <c r="T382" s="3" t="s">
        <v>29</v>
      </c>
      <c r="U382" s="3">
        <v>0</v>
      </c>
      <c r="V382" s="3">
        <v>404</v>
      </c>
      <c r="W382" s="5" t="str">
        <f t="shared" si="20"/>
        <v>520-599</v>
      </c>
      <c r="X382" s="5" t="str">
        <f t="shared" si="21"/>
        <v>Manageable (36-50%)</v>
      </c>
      <c r="Y382" s="5" t="str">
        <f t="shared" si="22"/>
        <v>Retired</v>
      </c>
      <c r="Z382" s="3" t="str">
        <f t="shared" si="23"/>
        <v>Consumer &amp; Personal</v>
      </c>
    </row>
    <row r="383" spans="1:26" ht="17.399999999999999" x14ac:dyDescent="0.35">
      <c r="A383" s="3" t="s">
        <v>776</v>
      </c>
      <c r="B383" s="3" t="s">
        <v>777</v>
      </c>
      <c r="C383" s="4">
        <v>45305</v>
      </c>
      <c r="D383" s="3" t="s">
        <v>77</v>
      </c>
      <c r="E383" s="3">
        <v>26500</v>
      </c>
      <c r="F383" s="3">
        <v>24</v>
      </c>
      <c r="G383" s="3">
        <v>12.88</v>
      </c>
      <c r="H383" s="3">
        <v>1258.3699999999999</v>
      </c>
      <c r="I383" s="3">
        <v>30.3</v>
      </c>
      <c r="J383" s="3" t="s">
        <v>32</v>
      </c>
      <c r="K383" s="3">
        <v>61</v>
      </c>
      <c r="L383" s="3">
        <v>1</v>
      </c>
      <c r="M383" s="3">
        <v>55</v>
      </c>
      <c r="N383" s="3" t="s">
        <v>36</v>
      </c>
      <c r="O383" s="3" t="s">
        <v>43</v>
      </c>
      <c r="P383" s="3" t="s">
        <v>44</v>
      </c>
      <c r="Q383" s="3">
        <v>6</v>
      </c>
      <c r="R383" s="3">
        <v>69849</v>
      </c>
      <c r="S383" s="3">
        <v>578</v>
      </c>
      <c r="T383" s="3" t="s">
        <v>45</v>
      </c>
      <c r="U383" s="3">
        <v>3</v>
      </c>
      <c r="V383" s="3">
        <v>508</v>
      </c>
      <c r="W383" s="5" t="str">
        <f t="shared" si="20"/>
        <v>520-599</v>
      </c>
      <c r="X383" s="5" t="str">
        <f t="shared" si="21"/>
        <v>Low (&lt;=35%)</v>
      </c>
      <c r="Y383" s="5" t="str">
        <f t="shared" si="22"/>
        <v>Employed</v>
      </c>
      <c r="Z383" s="3" t="str">
        <f t="shared" si="23"/>
        <v>Consumer &amp; Personal</v>
      </c>
    </row>
    <row r="384" spans="1:26" ht="17.399999999999999" x14ac:dyDescent="0.35">
      <c r="A384" s="3" t="s">
        <v>778</v>
      </c>
      <c r="B384" s="3" t="s">
        <v>779</v>
      </c>
      <c r="C384" s="4">
        <v>45802</v>
      </c>
      <c r="D384" s="3" t="s">
        <v>31</v>
      </c>
      <c r="E384" s="3">
        <v>21000</v>
      </c>
      <c r="F384" s="3">
        <v>12</v>
      </c>
      <c r="G384" s="3">
        <v>9.4499999999999993</v>
      </c>
      <c r="H384" s="3">
        <v>1840.87</v>
      </c>
      <c r="I384" s="3">
        <v>121.8</v>
      </c>
      <c r="J384" s="3" t="s">
        <v>48</v>
      </c>
      <c r="K384" s="3">
        <v>0</v>
      </c>
      <c r="L384" s="3">
        <v>0</v>
      </c>
      <c r="M384" s="3">
        <v>58</v>
      </c>
      <c r="N384" s="3" t="s">
        <v>71</v>
      </c>
      <c r="O384" s="3" t="s">
        <v>27</v>
      </c>
      <c r="P384" s="3" t="s">
        <v>28</v>
      </c>
      <c r="Q384" s="3">
        <v>16</v>
      </c>
      <c r="R384" s="3">
        <v>27000</v>
      </c>
      <c r="S384" s="3">
        <v>674</v>
      </c>
      <c r="T384" s="3" t="s">
        <v>29</v>
      </c>
      <c r="U384" s="3">
        <v>3</v>
      </c>
      <c r="V384" s="3">
        <v>900</v>
      </c>
      <c r="W384" s="5" t="str">
        <f t="shared" si="20"/>
        <v>650-699</v>
      </c>
      <c r="X384" s="5" t="str">
        <f t="shared" si="21"/>
        <v>Critical (&gt;75%)</v>
      </c>
      <c r="Y384" s="5" t="str">
        <f t="shared" si="22"/>
        <v>Self-Employed</v>
      </c>
      <c r="Z384" s="3" t="str">
        <f t="shared" si="23"/>
        <v>Debt &amp; Assets</v>
      </c>
    </row>
    <row r="385" spans="1:26" ht="17.399999999999999" x14ac:dyDescent="0.35">
      <c r="A385" s="3" t="s">
        <v>780</v>
      </c>
      <c r="B385" s="3" t="s">
        <v>781</v>
      </c>
      <c r="C385" s="4">
        <v>45617</v>
      </c>
      <c r="D385" s="3" t="s">
        <v>77</v>
      </c>
      <c r="E385" s="3">
        <v>22800</v>
      </c>
      <c r="F385" s="3">
        <v>36</v>
      </c>
      <c r="G385" s="3">
        <v>10.199999999999999</v>
      </c>
      <c r="H385" s="3">
        <v>737.83</v>
      </c>
      <c r="I385" s="3">
        <v>37.200000000000003</v>
      </c>
      <c r="J385" s="3" t="s">
        <v>48</v>
      </c>
      <c r="K385" s="3">
        <v>0</v>
      </c>
      <c r="L385" s="3">
        <v>0</v>
      </c>
      <c r="M385" s="3">
        <v>42</v>
      </c>
      <c r="N385" s="3" t="s">
        <v>167</v>
      </c>
      <c r="O385" s="3" t="s">
        <v>79</v>
      </c>
      <c r="P385" s="3" t="s">
        <v>37</v>
      </c>
      <c r="Q385" s="3">
        <v>4</v>
      </c>
      <c r="R385" s="3">
        <v>32850</v>
      </c>
      <c r="S385" s="3">
        <v>628</v>
      </c>
      <c r="T385" s="3" t="s">
        <v>29</v>
      </c>
      <c r="U385" s="3">
        <v>0</v>
      </c>
      <c r="V385" s="3">
        <v>281</v>
      </c>
      <c r="W385" s="5" t="str">
        <f t="shared" si="20"/>
        <v>600-649</v>
      </c>
      <c r="X385" s="5" t="str">
        <f t="shared" si="21"/>
        <v>Manageable (36-50%)</v>
      </c>
      <c r="Y385" s="5" t="str">
        <f t="shared" si="22"/>
        <v>Employed</v>
      </c>
      <c r="Z385" s="3" t="str">
        <f t="shared" si="23"/>
        <v>Consumer &amp; Personal</v>
      </c>
    </row>
    <row r="386" spans="1:26" ht="17.399999999999999" x14ac:dyDescent="0.35">
      <c r="A386" s="3" t="s">
        <v>782</v>
      </c>
      <c r="B386" s="3" t="s">
        <v>783</v>
      </c>
      <c r="C386" s="4">
        <v>45502</v>
      </c>
      <c r="D386" s="3" t="s">
        <v>41</v>
      </c>
      <c r="E386" s="3">
        <v>13000</v>
      </c>
      <c r="F386" s="3">
        <v>36</v>
      </c>
      <c r="G386" s="3">
        <v>11.03</v>
      </c>
      <c r="H386" s="3">
        <v>425.79</v>
      </c>
      <c r="I386" s="3">
        <v>16.3</v>
      </c>
      <c r="J386" s="3" t="s">
        <v>99</v>
      </c>
      <c r="K386" s="3">
        <v>15</v>
      </c>
      <c r="L386" s="3">
        <v>0</v>
      </c>
      <c r="M386" s="3">
        <v>50</v>
      </c>
      <c r="N386" s="3" t="s">
        <v>42</v>
      </c>
      <c r="O386" s="3" t="s">
        <v>43</v>
      </c>
      <c r="P386" s="3" t="s">
        <v>37</v>
      </c>
      <c r="Q386" s="3">
        <v>14</v>
      </c>
      <c r="R386" s="3">
        <v>74791</v>
      </c>
      <c r="S386" s="3">
        <v>641</v>
      </c>
      <c r="T386" s="3" t="s">
        <v>45</v>
      </c>
      <c r="U386" s="3">
        <v>3</v>
      </c>
      <c r="V386" s="3">
        <v>593</v>
      </c>
      <c r="W386" s="5" t="str">
        <f t="shared" ref="W386:W449" si="24">IF(S386&lt;=599, "520-599", IF(S386&lt;=649, "600-649", IF(S386&lt;=699, "650-699", IF(S386&lt;=749, "700-749", "750+"))))</f>
        <v>600-649</v>
      </c>
      <c r="X386" s="5" t="str">
        <f t="shared" ref="X386:X449" si="25">IF(I386&lt;=35, "Low (&lt;=35%)", IF(I386&lt;=50, "Manageable (36-50%)", IF(I386&lt;=75, "High (51-75%)", "Critical (&gt;75%)")))</f>
        <v>Low (&lt;=35%)</v>
      </c>
      <c r="Y386" s="5" t="str">
        <f t="shared" ref="Y386:Y449" si="26">IF(OR(P386="Full-Time", P386="Part-Time", P386="Contract"), "Employed", IF(P386="Self-Employed", "Self-Employed", IF(P386="Retired", "Retired", "Other")))</f>
        <v>Employed</v>
      </c>
      <c r="Z386" s="3" t="str">
        <f t="shared" ref="Z386:Z449" si="27">IF(OR(D386="Vacation", D386="Medical Expenses", D386="Wedding", D386="Moving"), "Consumer &amp; Personal", IF(OR(D386="Debt Consolidation", D386="Major Purchase", D386="Auto Loan"), "Debt &amp; Assets", IF(OR(D386="Home Improvement", D386="Business Loan", D386="Education"), "Investment &amp; Growth", "Other")))</f>
        <v>Debt &amp; Assets</v>
      </c>
    </row>
    <row r="387" spans="1:26" ht="17.399999999999999" x14ac:dyDescent="0.35">
      <c r="A387" s="3" t="s">
        <v>784</v>
      </c>
      <c r="B387" s="3" t="s">
        <v>783</v>
      </c>
      <c r="C387" s="4">
        <v>45682</v>
      </c>
      <c r="D387" s="3" t="s">
        <v>64</v>
      </c>
      <c r="E387" s="3">
        <v>35400</v>
      </c>
      <c r="F387" s="3">
        <v>24</v>
      </c>
      <c r="G387" s="3">
        <v>12.36</v>
      </c>
      <c r="H387" s="3">
        <v>1672.36</v>
      </c>
      <c r="I387" s="3">
        <v>36.299999999999997</v>
      </c>
      <c r="J387" s="3" t="s">
        <v>99</v>
      </c>
      <c r="K387" s="3">
        <v>0</v>
      </c>
      <c r="L387" s="3">
        <v>0</v>
      </c>
      <c r="M387" s="3">
        <v>50</v>
      </c>
      <c r="N387" s="3" t="s">
        <v>42</v>
      </c>
      <c r="O387" s="3" t="s">
        <v>43</v>
      </c>
      <c r="P387" s="3" t="s">
        <v>37</v>
      </c>
      <c r="Q387" s="3">
        <v>14</v>
      </c>
      <c r="R387" s="3">
        <v>74791</v>
      </c>
      <c r="S387" s="3">
        <v>641</v>
      </c>
      <c r="T387" s="3" t="s">
        <v>45</v>
      </c>
      <c r="U387" s="3">
        <v>3</v>
      </c>
      <c r="V387" s="3">
        <v>593</v>
      </c>
      <c r="W387" s="5" t="str">
        <f t="shared" si="24"/>
        <v>600-649</v>
      </c>
      <c r="X387" s="5" t="str">
        <f t="shared" si="25"/>
        <v>Manageable (36-50%)</v>
      </c>
      <c r="Y387" s="5" t="str">
        <f t="shared" si="26"/>
        <v>Employed</v>
      </c>
      <c r="Z387" s="3" t="str">
        <f t="shared" si="27"/>
        <v>Investment &amp; Growth</v>
      </c>
    </row>
    <row r="388" spans="1:26" ht="17.399999999999999" x14ac:dyDescent="0.35">
      <c r="A388" s="3" t="s">
        <v>785</v>
      </c>
      <c r="B388" s="3" t="s">
        <v>786</v>
      </c>
      <c r="C388" s="4">
        <v>45420</v>
      </c>
      <c r="D388" s="3" t="s">
        <v>24</v>
      </c>
      <c r="E388" s="3">
        <v>5800</v>
      </c>
      <c r="F388" s="3">
        <v>24</v>
      </c>
      <c r="G388" s="3">
        <v>14.02</v>
      </c>
      <c r="H388" s="3">
        <v>278.52999999999997</v>
      </c>
      <c r="I388" s="3">
        <v>28.6</v>
      </c>
      <c r="J388" s="3" t="s">
        <v>32</v>
      </c>
      <c r="K388" s="3">
        <v>170</v>
      </c>
      <c r="L388" s="3">
        <v>1</v>
      </c>
      <c r="M388" s="3">
        <v>65</v>
      </c>
      <c r="N388" s="3" t="s">
        <v>172</v>
      </c>
      <c r="O388" s="3" t="s">
        <v>79</v>
      </c>
      <c r="P388" s="3" t="s">
        <v>28</v>
      </c>
      <c r="Q388" s="3">
        <v>20</v>
      </c>
      <c r="R388" s="3">
        <v>57272</v>
      </c>
      <c r="S388" s="3">
        <v>640</v>
      </c>
      <c r="T388" s="3" t="s">
        <v>38</v>
      </c>
      <c r="U388" s="3">
        <v>0</v>
      </c>
      <c r="V388" s="3">
        <v>1087</v>
      </c>
      <c r="W388" s="5" t="str">
        <f t="shared" si="24"/>
        <v>600-649</v>
      </c>
      <c r="X388" s="5" t="str">
        <f t="shared" si="25"/>
        <v>Low (&lt;=35%)</v>
      </c>
      <c r="Y388" s="5" t="str">
        <f t="shared" si="26"/>
        <v>Self-Employed</v>
      </c>
      <c r="Z388" s="3" t="str">
        <f t="shared" si="27"/>
        <v>Consumer &amp; Personal</v>
      </c>
    </row>
    <row r="389" spans="1:26" ht="17.399999999999999" x14ac:dyDescent="0.35">
      <c r="A389" s="3" t="s">
        <v>787</v>
      </c>
      <c r="B389" s="3" t="s">
        <v>788</v>
      </c>
      <c r="C389" s="4">
        <v>45494</v>
      </c>
      <c r="D389" s="3" t="s">
        <v>64</v>
      </c>
      <c r="E389" s="3">
        <v>4200</v>
      </c>
      <c r="F389" s="3">
        <v>48</v>
      </c>
      <c r="G389" s="3">
        <v>11.24</v>
      </c>
      <c r="H389" s="3">
        <v>109.04</v>
      </c>
      <c r="I389" s="3">
        <v>44.9</v>
      </c>
      <c r="J389" s="3" t="s">
        <v>32</v>
      </c>
      <c r="K389" s="3">
        <v>75</v>
      </c>
      <c r="L389" s="3">
        <v>1</v>
      </c>
      <c r="M389" s="3">
        <v>54</v>
      </c>
      <c r="N389" s="3" t="s">
        <v>340</v>
      </c>
      <c r="O389" s="3" t="s">
        <v>27</v>
      </c>
      <c r="P389" s="3" t="s">
        <v>37</v>
      </c>
      <c r="Q389" s="3">
        <v>1</v>
      </c>
      <c r="R389" s="3">
        <v>51267</v>
      </c>
      <c r="S389" s="3">
        <v>619</v>
      </c>
      <c r="T389" s="3" t="s">
        <v>29</v>
      </c>
      <c r="U389" s="3">
        <v>1</v>
      </c>
      <c r="V389" s="3">
        <v>1811</v>
      </c>
      <c r="W389" s="5" t="str">
        <f t="shared" si="24"/>
        <v>600-649</v>
      </c>
      <c r="X389" s="5" t="str">
        <f t="shared" si="25"/>
        <v>Manageable (36-50%)</v>
      </c>
      <c r="Y389" s="5" t="str">
        <f t="shared" si="26"/>
        <v>Employed</v>
      </c>
      <c r="Z389" s="3" t="str">
        <f t="shared" si="27"/>
        <v>Investment &amp; Growth</v>
      </c>
    </row>
    <row r="390" spans="1:26" ht="17.399999999999999" x14ac:dyDescent="0.35">
      <c r="A390" s="3" t="s">
        <v>789</v>
      </c>
      <c r="B390" s="3" t="s">
        <v>788</v>
      </c>
      <c r="C390" s="4">
        <v>45498</v>
      </c>
      <c r="D390" s="3" t="s">
        <v>77</v>
      </c>
      <c r="E390" s="3">
        <v>10200</v>
      </c>
      <c r="F390" s="3">
        <v>48</v>
      </c>
      <c r="G390" s="3">
        <v>14.52</v>
      </c>
      <c r="H390" s="3">
        <v>281.39999999999998</v>
      </c>
      <c r="I390" s="3">
        <v>49</v>
      </c>
      <c r="J390" s="3" t="s">
        <v>32</v>
      </c>
      <c r="K390" s="3">
        <v>153</v>
      </c>
      <c r="L390" s="3">
        <v>1</v>
      </c>
      <c r="M390" s="3">
        <v>54</v>
      </c>
      <c r="N390" s="3" t="s">
        <v>340</v>
      </c>
      <c r="O390" s="3" t="s">
        <v>27</v>
      </c>
      <c r="P390" s="3" t="s">
        <v>37</v>
      </c>
      <c r="Q390" s="3">
        <v>1</v>
      </c>
      <c r="R390" s="3">
        <v>51267</v>
      </c>
      <c r="S390" s="3">
        <v>619</v>
      </c>
      <c r="T390" s="3" t="s">
        <v>29</v>
      </c>
      <c r="U390" s="3">
        <v>1</v>
      </c>
      <c r="V390" s="3">
        <v>1811</v>
      </c>
      <c r="W390" s="5" t="str">
        <f t="shared" si="24"/>
        <v>600-649</v>
      </c>
      <c r="X390" s="5" t="str">
        <f t="shared" si="25"/>
        <v>Manageable (36-50%)</v>
      </c>
      <c r="Y390" s="5" t="str">
        <f t="shared" si="26"/>
        <v>Employed</v>
      </c>
      <c r="Z390" s="3" t="str">
        <f t="shared" si="27"/>
        <v>Consumer &amp; Personal</v>
      </c>
    </row>
    <row r="391" spans="1:26" ht="17.399999999999999" x14ac:dyDescent="0.35">
      <c r="A391" s="3" t="s">
        <v>790</v>
      </c>
      <c r="B391" s="3" t="s">
        <v>791</v>
      </c>
      <c r="C391" s="4">
        <v>45735</v>
      </c>
      <c r="D391" s="3" t="s">
        <v>52</v>
      </c>
      <c r="E391" s="3">
        <v>8200</v>
      </c>
      <c r="F391" s="3">
        <v>48</v>
      </c>
      <c r="G391" s="3">
        <v>12.25</v>
      </c>
      <c r="H391" s="3">
        <v>216.95</v>
      </c>
      <c r="I391" s="3">
        <v>16.7</v>
      </c>
      <c r="J391" s="3" t="s">
        <v>25</v>
      </c>
      <c r="K391" s="3">
        <v>0</v>
      </c>
      <c r="L391" s="3">
        <v>0</v>
      </c>
      <c r="M391" s="3">
        <v>37</v>
      </c>
      <c r="N391" s="3" t="s">
        <v>179</v>
      </c>
      <c r="O391" s="3" t="s">
        <v>27</v>
      </c>
      <c r="P391" s="3" t="s">
        <v>37</v>
      </c>
      <c r="Q391" s="3">
        <v>0</v>
      </c>
      <c r="R391" s="3">
        <v>50342</v>
      </c>
      <c r="S391" s="3">
        <v>592</v>
      </c>
      <c r="T391" s="3" t="s">
        <v>38</v>
      </c>
      <c r="U391" s="3">
        <v>4</v>
      </c>
      <c r="V391" s="3">
        <v>483</v>
      </c>
      <c r="W391" s="5" t="str">
        <f t="shared" si="24"/>
        <v>520-599</v>
      </c>
      <c r="X391" s="5" t="str">
        <f t="shared" si="25"/>
        <v>Low (&lt;=35%)</v>
      </c>
      <c r="Y391" s="5" t="str">
        <f t="shared" si="26"/>
        <v>Employed</v>
      </c>
      <c r="Z391" s="3" t="str">
        <f t="shared" si="27"/>
        <v>Investment &amp; Growth</v>
      </c>
    </row>
    <row r="392" spans="1:26" ht="17.399999999999999" x14ac:dyDescent="0.35">
      <c r="A392" s="3" t="s">
        <v>792</v>
      </c>
      <c r="B392" s="3" t="s">
        <v>793</v>
      </c>
      <c r="C392" s="4">
        <v>45448</v>
      </c>
      <c r="D392" s="3" t="s">
        <v>31</v>
      </c>
      <c r="E392" s="3">
        <v>4900</v>
      </c>
      <c r="F392" s="3">
        <v>36</v>
      </c>
      <c r="G392" s="3">
        <v>9.18</v>
      </c>
      <c r="H392" s="3">
        <v>156.22999999999999</v>
      </c>
      <c r="I392" s="3">
        <v>59</v>
      </c>
      <c r="J392" s="3" t="s">
        <v>48</v>
      </c>
      <c r="K392" s="3">
        <v>0</v>
      </c>
      <c r="L392" s="3">
        <v>0</v>
      </c>
      <c r="M392" s="3">
        <v>47</v>
      </c>
      <c r="N392" s="3" t="s">
        <v>57</v>
      </c>
      <c r="O392" s="3" t="s">
        <v>43</v>
      </c>
      <c r="P392" s="3" t="s">
        <v>73</v>
      </c>
      <c r="Q392" s="3">
        <v>18</v>
      </c>
      <c r="R392" s="3">
        <v>44951</v>
      </c>
      <c r="S392" s="3">
        <v>828</v>
      </c>
      <c r="T392" s="3" t="s">
        <v>45</v>
      </c>
      <c r="U392" s="3">
        <v>0</v>
      </c>
      <c r="V392" s="3">
        <v>2054</v>
      </c>
      <c r="W392" s="5" t="str">
        <f t="shared" si="24"/>
        <v>750+</v>
      </c>
      <c r="X392" s="5" t="str">
        <f t="shared" si="25"/>
        <v>High (51-75%)</v>
      </c>
      <c r="Y392" s="5" t="str">
        <f t="shared" si="26"/>
        <v>Employed</v>
      </c>
      <c r="Z392" s="3" t="str">
        <f t="shared" si="27"/>
        <v>Debt &amp; Assets</v>
      </c>
    </row>
    <row r="393" spans="1:26" ht="17.399999999999999" x14ac:dyDescent="0.35">
      <c r="A393" s="3" t="s">
        <v>794</v>
      </c>
      <c r="B393" s="3" t="s">
        <v>795</v>
      </c>
      <c r="C393" s="4">
        <v>45772</v>
      </c>
      <c r="D393" s="3" t="s">
        <v>41</v>
      </c>
      <c r="E393" s="3">
        <v>30600</v>
      </c>
      <c r="F393" s="3">
        <v>12</v>
      </c>
      <c r="G393" s="3">
        <v>9.93</v>
      </c>
      <c r="H393" s="3">
        <v>2689.23</v>
      </c>
      <c r="I393" s="3">
        <v>100.4</v>
      </c>
      <c r="J393" s="3" t="s">
        <v>32</v>
      </c>
      <c r="K393" s="3">
        <v>78</v>
      </c>
      <c r="L393" s="3">
        <v>1</v>
      </c>
      <c r="M393" s="3">
        <v>34</v>
      </c>
      <c r="N393" s="3" t="s">
        <v>105</v>
      </c>
      <c r="O393" s="3" t="s">
        <v>72</v>
      </c>
      <c r="P393" s="3" t="s">
        <v>37</v>
      </c>
      <c r="Q393" s="3">
        <v>1</v>
      </c>
      <c r="R393" s="3">
        <v>65650</v>
      </c>
      <c r="S393" s="3">
        <v>704</v>
      </c>
      <c r="T393" s="3" t="s">
        <v>38</v>
      </c>
      <c r="U393" s="3">
        <v>0</v>
      </c>
      <c r="V393" s="3">
        <v>2801</v>
      </c>
      <c r="W393" s="5" t="str">
        <f t="shared" si="24"/>
        <v>700-749</v>
      </c>
      <c r="X393" s="5" t="str">
        <f t="shared" si="25"/>
        <v>Critical (&gt;75%)</v>
      </c>
      <c r="Y393" s="5" t="str">
        <f t="shared" si="26"/>
        <v>Employed</v>
      </c>
      <c r="Z393" s="3" t="str">
        <f t="shared" si="27"/>
        <v>Debt &amp; Assets</v>
      </c>
    </row>
    <row r="394" spans="1:26" ht="17.399999999999999" x14ac:dyDescent="0.35">
      <c r="A394" s="3" t="s">
        <v>796</v>
      </c>
      <c r="B394" s="3" t="s">
        <v>797</v>
      </c>
      <c r="C394" s="4">
        <v>45696</v>
      </c>
      <c r="D394" s="3" t="s">
        <v>35</v>
      </c>
      <c r="E394" s="3">
        <v>20000</v>
      </c>
      <c r="F394" s="3">
        <v>48</v>
      </c>
      <c r="G394" s="3">
        <v>12.16</v>
      </c>
      <c r="H394" s="3">
        <v>528.25</v>
      </c>
      <c r="I394" s="3">
        <v>30.1</v>
      </c>
      <c r="J394" s="3" t="s">
        <v>48</v>
      </c>
      <c r="K394" s="3">
        <v>0</v>
      </c>
      <c r="L394" s="3">
        <v>0</v>
      </c>
      <c r="M394" s="3">
        <v>49</v>
      </c>
      <c r="N394" s="3" t="s">
        <v>71</v>
      </c>
      <c r="O394" s="3" t="s">
        <v>72</v>
      </c>
      <c r="P394" s="3" t="s">
        <v>37</v>
      </c>
      <c r="Q394" s="3">
        <v>5</v>
      </c>
      <c r="R394" s="3">
        <v>57129</v>
      </c>
      <c r="S394" s="3">
        <v>748</v>
      </c>
      <c r="T394" s="3" t="s">
        <v>45</v>
      </c>
      <c r="U394" s="3">
        <v>0</v>
      </c>
      <c r="V394" s="3">
        <v>904</v>
      </c>
      <c r="W394" s="5" t="str">
        <f t="shared" si="24"/>
        <v>700-749</v>
      </c>
      <c r="X394" s="5" t="str">
        <f t="shared" si="25"/>
        <v>Low (&lt;=35%)</v>
      </c>
      <c r="Y394" s="5" t="str">
        <f t="shared" si="26"/>
        <v>Employed</v>
      </c>
      <c r="Z394" s="3" t="str">
        <f t="shared" si="27"/>
        <v>Consumer &amp; Personal</v>
      </c>
    </row>
    <row r="395" spans="1:26" ht="17.399999999999999" x14ac:dyDescent="0.35">
      <c r="A395" s="3" t="s">
        <v>798</v>
      </c>
      <c r="B395" s="3" t="s">
        <v>799</v>
      </c>
      <c r="C395" s="4">
        <v>45458</v>
      </c>
      <c r="D395" s="3" t="s">
        <v>77</v>
      </c>
      <c r="E395" s="3">
        <v>6100</v>
      </c>
      <c r="F395" s="3">
        <v>12</v>
      </c>
      <c r="G395" s="3">
        <v>10.74</v>
      </c>
      <c r="H395" s="3">
        <v>538.39</v>
      </c>
      <c r="I395" s="3">
        <v>47.2</v>
      </c>
      <c r="J395" s="3" t="s">
        <v>32</v>
      </c>
      <c r="K395" s="3">
        <v>141</v>
      </c>
      <c r="L395" s="3">
        <v>1</v>
      </c>
      <c r="M395" s="3">
        <v>31</v>
      </c>
      <c r="N395" s="3" t="s">
        <v>119</v>
      </c>
      <c r="O395" s="3" t="s">
        <v>27</v>
      </c>
      <c r="P395" s="3" t="s">
        <v>73</v>
      </c>
      <c r="Q395" s="3">
        <v>7</v>
      </c>
      <c r="R395" s="3">
        <v>17078</v>
      </c>
      <c r="S395" s="3">
        <v>671</v>
      </c>
      <c r="T395" s="3" t="s">
        <v>45</v>
      </c>
      <c r="U395" s="3">
        <v>1</v>
      </c>
      <c r="V395" s="3">
        <v>133</v>
      </c>
      <c r="W395" s="5" t="str">
        <f t="shared" si="24"/>
        <v>650-699</v>
      </c>
      <c r="X395" s="5" t="str">
        <f t="shared" si="25"/>
        <v>Manageable (36-50%)</v>
      </c>
      <c r="Y395" s="5" t="str">
        <f t="shared" si="26"/>
        <v>Employed</v>
      </c>
      <c r="Z395" s="3" t="str">
        <f t="shared" si="27"/>
        <v>Consumer &amp; Personal</v>
      </c>
    </row>
    <row r="396" spans="1:26" ht="17.399999999999999" x14ac:dyDescent="0.35">
      <c r="A396" s="3" t="s">
        <v>800</v>
      </c>
      <c r="B396" s="3" t="s">
        <v>801</v>
      </c>
      <c r="C396" s="4">
        <v>45686</v>
      </c>
      <c r="D396" s="3" t="s">
        <v>52</v>
      </c>
      <c r="E396" s="3">
        <v>24900</v>
      </c>
      <c r="F396" s="3">
        <v>36</v>
      </c>
      <c r="G396" s="3">
        <v>10.17</v>
      </c>
      <c r="H396" s="3">
        <v>805.44</v>
      </c>
      <c r="I396" s="3">
        <v>24</v>
      </c>
      <c r="J396" s="3" t="s">
        <v>48</v>
      </c>
      <c r="K396" s="3">
        <v>0</v>
      </c>
      <c r="L396" s="3">
        <v>0</v>
      </c>
      <c r="M396" s="3">
        <v>46</v>
      </c>
      <c r="N396" s="3" t="s">
        <v>68</v>
      </c>
      <c r="O396" s="3" t="s">
        <v>27</v>
      </c>
      <c r="P396" s="3" t="s">
        <v>37</v>
      </c>
      <c r="Q396" s="3">
        <v>7</v>
      </c>
      <c r="R396" s="3">
        <v>53539</v>
      </c>
      <c r="S396" s="3">
        <v>799</v>
      </c>
      <c r="T396" s="3" t="s">
        <v>45</v>
      </c>
      <c r="U396" s="3">
        <v>1</v>
      </c>
      <c r="V396" s="3">
        <v>266</v>
      </c>
      <c r="W396" s="5" t="str">
        <f t="shared" si="24"/>
        <v>750+</v>
      </c>
      <c r="X396" s="5" t="str">
        <f t="shared" si="25"/>
        <v>Low (&lt;=35%)</v>
      </c>
      <c r="Y396" s="5" t="str">
        <f t="shared" si="26"/>
        <v>Employed</v>
      </c>
      <c r="Z396" s="3" t="str">
        <f t="shared" si="27"/>
        <v>Investment &amp; Growth</v>
      </c>
    </row>
    <row r="397" spans="1:26" ht="17.399999999999999" x14ac:dyDescent="0.35">
      <c r="A397" s="3" t="s">
        <v>802</v>
      </c>
      <c r="B397" s="3" t="s">
        <v>801</v>
      </c>
      <c r="C397" s="4">
        <v>45443</v>
      </c>
      <c r="D397" s="3" t="s">
        <v>67</v>
      </c>
      <c r="E397" s="3">
        <v>19300</v>
      </c>
      <c r="F397" s="3">
        <v>12</v>
      </c>
      <c r="G397" s="3">
        <v>10.17</v>
      </c>
      <c r="H397" s="3">
        <v>1698.3</v>
      </c>
      <c r="I397" s="3">
        <v>44</v>
      </c>
      <c r="J397" s="3" t="s">
        <v>99</v>
      </c>
      <c r="K397" s="3">
        <v>0</v>
      </c>
      <c r="L397" s="3">
        <v>0</v>
      </c>
      <c r="M397" s="3">
        <v>46</v>
      </c>
      <c r="N397" s="3" t="s">
        <v>68</v>
      </c>
      <c r="O397" s="3" t="s">
        <v>27</v>
      </c>
      <c r="P397" s="3" t="s">
        <v>37</v>
      </c>
      <c r="Q397" s="3">
        <v>7</v>
      </c>
      <c r="R397" s="3">
        <v>53539</v>
      </c>
      <c r="S397" s="3">
        <v>799</v>
      </c>
      <c r="T397" s="3" t="s">
        <v>45</v>
      </c>
      <c r="U397" s="3">
        <v>1</v>
      </c>
      <c r="V397" s="3">
        <v>266</v>
      </c>
      <c r="W397" s="5" t="str">
        <f t="shared" si="24"/>
        <v>750+</v>
      </c>
      <c r="X397" s="5" t="str">
        <f t="shared" si="25"/>
        <v>Manageable (36-50%)</v>
      </c>
      <c r="Y397" s="5" t="str">
        <f t="shared" si="26"/>
        <v>Employed</v>
      </c>
      <c r="Z397" s="3" t="str">
        <f t="shared" si="27"/>
        <v>Debt &amp; Assets</v>
      </c>
    </row>
    <row r="398" spans="1:26" ht="17.399999999999999" x14ac:dyDescent="0.35">
      <c r="A398" s="3" t="s">
        <v>803</v>
      </c>
      <c r="B398" s="3" t="s">
        <v>804</v>
      </c>
      <c r="C398" s="4">
        <v>45386</v>
      </c>
      <c r="D398" s="3" t="s">
        <v>77</v>
      </c>
      <c r="E398" s="3">
        <v>33800</v>
      </c>
      <c r="F398" s="3">
        <v>24</v>
      </c>
      <c r="G398" s="3">
        <v>6.85</v>
      </c>
      <c r="H398" s="3">
        <v>1511.02</v>
      </c>
      <c r="I398" s="3">
        <v>36.4</v>
      </c>
      <c r="J398" s="3" t="s">
        <v>99</v>
      </c>
      <c r="K398" s="3">
        <v>15</v>
      </c>
      <c r="L398" s="3">
        <v>0</v>
      </c>
      <c r="M398" s="3">
        <v>46</v>
      </c>
      <c r="N398" s="3" t="s">
        <v>93</v>
      </c>
      <c r="O398" s="3" t="s">
        <v>72</v>
      </c>
      <c r="P398" s="3" t="s">
        <v>37</v>
      </c>
      <c r="Q398" s="3">
        <v>11</v>
      </c>
      <c r="R398" s="3">
        <v>101319</v>
      </c>
      <c r="S398" s="3">
        <v>793</v>
      </c>
      <c r="T398" s="3" t="s">
        <v>29</v>
      </c>
      <c r="U398" s="3">
        <v>1</v>
      </c>
      <c r="V398" s="3">
        <v>1563</v>
      </c>
      <c r="W398" s="5" t="str">
        <f t="shared" si="24"/>
        <v>750+</v>
      </c>
      <c r="X398" s="5" t="str">
        <f t="shared" si="25"/>
        <v>Manageable (36-50%)</v>
      </c>
      <c r="Y398" s="5" t="str">
        <f t="shared" si="26"/>
        <v>Employed</v>
      </c>
      <c r="Z398" s="3" t="str">
        <f t="shared" si="27"/>
        <v>Consumer &amp; Personal</v>
      </c>
    </row>
    <row r="399" spans="1:26" ht="17.399999999999999" x14ac:dyDescent="0.35">
      <c r="A399" s="3" t="s">
        <v>805</v>
      </c>
      <c r="B399" s="3" t="s">
        <v>806</v>
      </c>
      <c r="C399" s="4">
        <v>45729</v>
      </c>
      <c r="D399" s="3" t="s">
        <v>61</v>
      </c>
      <c r="E399" s="3">
        <v>11100</v>
      </c>
      <c r="F399" s="3">
        <v>48</v>
      </c>
      <c r="G399" s="3">
        <v>9.5299999999999994</v>
      </c>
      <c r="H399" s="3">
        <v>279.02999999999997</v>
      </c>
      <c r="I399" s="3">
        <v>48.1</v>
      </c>
      <c r="J399" s="3" t="s">
        <v>32</v>
      </c>
      <c r="K399" s="3">
        <v>107</v>
      </c>
      <c r="L399" s="3">
        <v>1</v>
      </c>
      <c r="M399" s="3">
        <v>23</v>
      </c>
      <c r="N399" s="3" t="s">
        <v>123</v>
      </c>
      <c r="O399" s="3" t="s">
        <v>79</v>
      </c>
      <c r="P399" s="3" t="s">
        <v>37</v>
      </c>
      <c r="Q399" s="3">
        <v>0</v>
      </c>
      <c r="R399" s="3">
        <v>70784</v>
      </c>
      <c r="S399" s="3">
        <v>678</v>
      </c>
      <c r="T399" s="3" t="s">
        <v>29</v>
      </c>
      <c r="U399" s="3">
        <v>1</v>
      </c>
      <c r="V399" s="3">
        <v>2556</v>
      </c>
      <c r="W399" s="5" t="str">
        <f t="shared" si="24"/>
        <v>650-699</v>
      </c>
      <c r="X399" s="5" t="str">
        <f t="shared" si="25"/>
        <v>Manageable (36-50%)</v>
      </c>
      <c r="Y399" s="5" t="str">
        <f t="shared" si="26"/>
        <v>Employed</v>
      </c>
      <c r="Z399" s="3" t="str">
        <f t="shared" si="27"/>
        <v>Investment &amp; Growth</v>
      </c>
    </row>
    <row r="400" spans="1:26" ht="17.399999999999999" x14ac:dyDescent="0.35">
      <c r="A400" s="3" t="s">
        <v>807</v>
      </c>
      <c r="B400" s="3" t="s">
        <v>808</v>
      </c>
      <c r="C400" s="4">
        <v>45383</v>
      </c>
      <c r="D400" s="3" t="s">
        <v>35</v>
      </c>
      <c r="E400" s="3">
        <v>20400</v>
      </c>
      <c r="F400" s="3">
        <v>36</v>
      </c>
      <c r="G400" s="3">
        <v>12.24</v>
      </c>
      <c r="H400" s="3">
        <v>679.91</v>
      </c>
      <c r="I400" s="3">
        <v>60.2</v>
      </c>
      <c r="J400" s="3" t="s">
        <v>32</v>
      </c>
      <c r="K400" s="3">
        <v>176</v>
      </c>
      <c r="L400" s="3">
        <v>1</v>
      </c>
      <c r="M400" s="3">
        <v>36</v>
      </c>
      <c r="N400" s="3" t="s">
        <v>62</v>
      </c>
      <c r="O400" s="3" t="s">
        <v>58</v>
      </c>
      <c r="P400" s="3" t="s">
        <v>37</v>
      </c>
      <c r="Q400" s="3">
        <v>1</v>
      </c>
      <c r="R400" s="3">
        <v>135142</v>
      </c>
      <c r="S400" s="3">
        <v>686</v>
      </c>
      <c r="T400" s="3" t="s">
        <v>29</v>
      </c>
      <c r="U400" s="3">
        <v>2</v>
      </c>
      <c r="V400" s="3">
        <v>6096</v>
      </c>
      <c r="W400" s="5" t="str">
        <f t="shared" si="24"/>
        <v>650-699</v>
      </c>
      <c r="X400" s="5" t="str">
        <f t="shared" si="25"/>
        <v>High (51-75%)</v>
      </c>
      <c r="Y400" s="5" t="str">
        <f t="shared" si="26"/>
        <v>Employed</v>
      </c>
      <c r="Z400" s="3" t="str">
        <f t="shared" si="27"/>
        <v>Consumer &amp; Personal</v>
      </c>
    </row>
    <row r="401" spans="1:26" ht="17.399999999999999" x14ac:dyDescent="0.35">
      <c r="A401" s="3" t="s">
        <v>809</v>
      </c>
      <c r="B401" s="3" t="s">
        <v>810</v>
      </c>
      <c r="C401" s="4">
        <v>45699</v>
      </c>
      <c r="D401" s="3" t="s">
        <v>52</v>
      </c>
      <c r="E401" s="3">
        <v>14900</v>
      </c>
      <c r="F401" s="3">
        <v>24</v>
      </c>
      <c r="G401" s="3">
        <v>14.15</v>
      </c>
      <c r="H401" s="3">
        <v>716.45</v>
      </c>
      <c r="I401" s="3">
        <v>32</v>
      </c>
      <c r="J401" s="3" t="s">
        <v>48</v>
      </c>
      <c r="K401" s="3">
        <v>0</v>
      </c>
      <c r="L401" s="3">
        <v>0</v>
      </c>
      <c r="M401" s="3">
        <v>46</v>
      </c>
      <c r="N401" s="3" t="s">
        <v>68</v>
      </c>
      <c r="O401" s="3" t="s">
        <v>43</v>
      </c>
      <c r="P401" s="3" t="s">
        <v>44</v>
      </c>
      <c r="Q401" s="3">
        <v>7</v>
      </c>
      <c r="R401" s="3">
        <v>94525</v>
      </c>
      <c r="S401" s="3">
        <v>630</v>
      </c>
      <c r="T401" s="3" t="s">
        <v>45</v>
      </c>
      <c r="U401" s="3">
        <v>2</v>
      </c>
      <c r="V401" s="3">
        <v>1806</v>
      </c>
      <c r="W401" s="5" t="str">
        <f t="shared" si="24"/>
        <v>600-649</v>
      </c>
      <c r="X401" s="5" t="str">
        <f t="shared" si="25"/>
        <v>Low (&lt;=35%)</v>
      </c>
      <c r="Y401" s="5" t="str">
        <f t="shared" si="26"/>
        <v>Employed</v>
      </c>
      <c r="Z401" s="3" t="str">
        <f t="shared" si="27"/>
        <v>Investment &amp; Growth</v>
      </c>
    </row>
    <row r="402" spans="1:26" ht="17.399999999999999" x14ac:dyDescent="0.35">
      <c r="A402" s="3" t="s">
        <v>811</v>
      </c>
      <c r="B402" s="3" t="s">
        <v>812</v>
      </c>
      <c r="C402" s="4">
        <v>45587</v>
      </c>
      <c r="D402" s="3" t="s">
        <v>61</v>
      </c>
      <c r="E402" s="3">
        <v>15500</v>
      </c>
      <c r="F402" s="3">
        <v>60</v>
      </c>
      <c r="G402" s="3">
        <v>8.4499999999999993</v>
      </c>
      <c r="H402" s="3">
        <v>317.63</v>
      </c>
      <c r="I402" s="3">
        <v>52.3</v>
      </c>
      <c r="J402" s="3" t="s">
        <v>48</v>
      </c>
      <c r="K402" s="3">
        <v>0</v>
      </c>
      <c r="L402" s="3">
        <v>0</v>
      </c>
      <c r="M402" s="3">
        <v>59</v>
      </c>
      <c r="N402" s="3" t="s">
        <v>115</v>
      </c>
      <c r="O402" s="3" t="s">
        <v>27</v>
      </c>
      <c r="P402" s="3" t="s">
        <v>28</v>
      </c>
      <c r="Q402" s="3">
        <v>9</v>
      </c>
      <c r="R402" s="3">
        <v>55754</v>
      </c>
      <c r="S402" s="3">
        <v>818</v>
      </c>
      <c r="T402" s="3" t="s">
        <v>45</v>
      </c>
      <c r="U402" s="3">
        <v>3</v>
      </c>
      <c r="V402" s="3">
        <v>2114</v>
      </c>
      <c r="W402" s="5" t="str">
        <f t="shared" si="24"/>
        <v>750+</v>
      </c>
      <c r="X402" s="5" t="str">
        <f t="shared" si="25"/>
        <v>High (51-75%)</v>
      </c>
      <c r="Y402" s="5" t="str">
        <f t="shared" si="26"/>
        <v>Self-Employed</v>
      </c>
      <c r="Z402" s="3" t="str">
        <f t="shared" si="27"/>
        <v>Investment &amp; Growth</v>
      </c>
    </row>
    <row r="403" spans="1:26" ht="17.399999999999999" x14ac:dyDescent="0.35">
      <c r="A403" s="3" t="s">
        <v>813</v>
      </c>
      <c r="B403" s="3" t="s">
        <v>814</v>
      </c>
      <c r="C403" s="4">
        <v>45509</v>
      </c>
      <c r="D403" s="3" t="s">
        <v>64</v>
      </c>
      <c r="E403" s="3">
        <v>20100</v>
      </c>
      <c r="F403" s="3">
        <v>12</v>
      </c>
      <c r="G403" s="3">
        <v>12.95</v>
      </c>
      <c r="H403" s="3">
        <v>1794.81</v>
      </c>
      <c r="I403" s="3">
        <v>55.1</v>
      </c>
      <c r="J403" s="3" t="s">
        <v>32</v>
      </c>
      <c r="K403" s="3">
        <v>45</v>
      </c>
      <c r="L403" s="3">
        <v>1</v>
      </c>
      <c r="M403" s="3">
        <v>53</v>
      </c>
      <c r="N403" s="3" t="s">
        <v>96</v>
      </c>
      <c r="O403" s="3" t="s">
        <v>43</v>
      </c>
      <c r="P403" s="3" t="s">
        <v>37</v>
      </c>
      <c r="Q403" s="3">
        <v>14</v>
      </c>
      <c r="R403" s="3">
        <v>43022</v>
      </c>
      <c r="S403" s="3">
        <v>558</v>
      </c>
      <c r="T403" s="3" t="s">
        <v>45</v>
      </c>
      <c r="U403" s="3">
        <v>1</v>
      </c>
      <c r="V403" s="3">
        <v>180</v>
      </c>
      <c r="W403" s="5" t="str">
        <f t="shared" si="24"/>
        <v>520-599</v>
      </c>
      <c r="X403" s="5" t="str">
        <f t="shared" si="25"/>
        <v>High (51-75%)</v>
      </c>
      <c r="Y403" s="5" t="str">
        <f t="shared" si="26"/>
        <v>Employed</v>
      </c>
      <c r="Z403" s="3" t="str">
        <f t="shared" si="27"/>
        <v>Investment &amp; Growth</v>
      </c>
    </row>
    <row r="404" spans="1:26" ht="17.399999999999999" x14ac:dyDescent="0.35">
      <c r="A404" s="3" t="s">
        <v>815</v>
      </c>
      <c r="B404" s="3" t="s">
        <v>816</v>
      </c>
      <c r="C404" s="4">
        <v>45403</v>
      </c>
      <c r="D404" s="3" t="s">
        <v>64</v>
      </c>
      <c r="E404" s="3">
        <v>34700</v>
      </c>
      <c r="F404" s="3">
        <v>48</v>
      </c>
      <c r="G404" s="3">
        <v>10.54</v>
      </c>
      <c r="H404" s="3">
        <v>889.11</v>
      </c>
      <c r="I404" s="3">
        <v>29.1</v>
      </c>
      <c r="J404" s="3" t="s">
        <v>48</v>
      </c>
      <c r="K404" s="3">
        <v>0</v>
      </c>
      <c r="L404" s="3">
        <v>0</v>
      </c>
      <c r="M404" s="3">
        <v>61</v>
      </c>
      <c r="N404" s="3" t="s">
        <v>167</v>
      </c>
      <c r="O404" s="3" t="s">
        <v>79</v>
      </c>
      <c r="P404" s="3" t="s">
        <v>37</v>
      </c>
      <c r="Q404" s="3">
        <v>3</v>
      </c>
      <c r="R404" s="3">
        <v>62522</v>
      </c>
      <c r="S404" s="3">
        <v>700</v>
      </c>
      <c r="T404" s="3" t="s">
        <v>38</v>
      </c>
      <c r="U404" s="3">
        <v>2</v>
      </c>
      <c r="V404" s="3">
        <v>629</v>
      </c>
      <c r="W404" s="5" t="str">
        <f t="shared" si="24"/>
        <v>700-749</v>
      </c>
      <c r="X404" s="5" t="str">
        <f t="shared" si="25"/>
        <v>Low (&lt;=35%)</v>
      </c>
      <c r="Y404" s="5" t="str">
        <f t="shared" si="26"/>
        <v>Employed</v>
      </c>
      <c r="Z404" s="3" t="str">
        <f t="shared" si="27"/>
        <v>Investment &amp; Growth</v>
      </c>
    </row>
    <row r="405" spans="1:26" ht="17.399999999999999" x14ac:dyDescent="0.35">
      <c r="A405" s="3" t="s">
        <v>817</v>
      </c>
      <c r="B405" s="3" t="s">
        <v>818</v>
      </c>
      <c r="C405" s="4">
        <v>45395</v>
      </c>
      <c r="D405" s="3" t="s">
        <v>41</v>
      </c>
      <c r="E405" s="3">
        <v>3400</v>
      </c>
      <c r="F405" s="3">
        <v>24</v>
      </c>
      <c r="G405" s="3">
        <v>10.039999999999999</v>
      </c>
      <c r="H405" s="3">
        <v>156.96</v>
      </c>
      <c r="I405" s="3">
        <v>13.2</v>
      </c>
      <c r="J405" s="3" t="s">
        <v>32</v>
      </c>
      <c r="K405" s="3">
        <v>98</v>
      </c>
      <c r="L405" s="3">
        <v>1</v>
      </c>
      <c r="M405" s="3">
        <v>29</v>
      </c>
      <c r="N405" s="3" t="s">
        <v>128</v>
      </c>
      <c r="O405" s="3" t="s">
        <v>72</v>
      </c>
      <c r="P405" s="3" t="s">
        <v>44</v>
      </c>
      <c r="Q405" s="3">
        <v>6</v>
      </c>
      <c r="R405" s="3">
        <v>137015</v>
      </c>
      <c r="S405" s="3">
        <v>741</v>
      </c>
      <c r="T405" s="3" t="s">
        <v>45</v>
      </c>
      <c r="U405" s="3">
        <v>1</v>
      </c>
      <c r="V405" s="3">
        <v>1349</v>
      </c>
      <c r="W405" s="5" t="str">
        <f t="shared" si="24"/>
        <v>700-749</v>
      </c>
      <c r="X405" s="5" t="str">
        <f t="shared" si="25"/>
        <v>Low (&lt;=35%)</v>
      </c>
      <c r="Y405" s="5" t="str">
        <f t="shared" si="26"/>
        <v>Employed</v>
      </c>
      <c r="Z405" s="3" t="str">
        <f t="shared" si="27"/>
        <v>Debt &amp; Assets</v>
      </c>
    </row>
    <row r="406" spans="1:26" ht="17.399999999999999" x14ac:dyDescent="0.35">
      <c r="A406" s="3" t="s">
        <v>819</v>
      </c>
      <c r="B406" s="3" t="s">
        <v>820</v>
      </c>
      <c r="C406" s="4">
        <v>45826</v>
      </c>
      <c r="D406" s="3" t="s">
        <v>67</v>
      </c>
      <c r="E406" s="3">
        <v>39900</v>
      </c>
      <c r="F406" s="3">
        <v>12</v>
      </c>
      <c r="G406" s="3">
        <v>7.25</v>
      </c>
      <c r="H406" s="3">
        <v>3457.02</v>
      </c>
      <c r="I406" s="3">
        <v>77.599999999999994</v>
      </c>
      <c r="J406" s="3" t="s">
        <v>48</v>
      </c>
      <c r="K406" s="3">
        <v>0</v>
      </c>
      <c r="L406" s="3">
        <v>0</v>
      </c>
      <c r="M406" s="3">
        <v>32</v>
      </c>
      <c r="N406" s="3" t="s">
        <v>172</v>
      </c>
      <c r="O406" s="3" t="s">
        <v>72</v>
      </c>
      <c r="P406" s="3" t="s">
        <v>37</v>
      </c>
      <c r="Q406" s="3">
        <v>10</v>
      </c>
      <c r="R406" s="3">
        <v>109449</v>
      </c>
      <c r="S406" s="3">
        <v>794</v>
      </c>
      <c r="T406" s="3" t="s">
        <v>45</v>
      </c>
      <c r="U406" s="3">
        <v>4</v>
      </c>
      <c r="V406" s="3">
        <v>3618</v>
      </c>
      <c r="W406" s="5" t="str">
        <f t="shared" si="24"/>
        <v>750+</v>
      </c>
      <c r="X406" s="5" t="str">
        <f t="shared" si="25"/>
        <v>Critical (&gt;75%)</v>
      </c>
      <c r="Y406" s="5" t="str">
        <f t="shared" si="26"/>
        <v>Employed</v>
      </c>
      <c r="Z406" s="3" t="str">
        <f t="shared" si="27"/>
        <v>Debt &amp; Assets</v>
      </c>
    </row>
    <row r="407" spans="1:26" ht="17.399999999999999" x14ac:dyDescent="0.35">
      <c r="A407" s="3" t="s">
        <v>821</v>
      </c>
      <c r="B407" s="3" t="s">
        <v>822</v>
      </c>
      <c r="C407" s="4">
        <v>45636</v>
      </c>
      <c r="D407" s="3" t="s">
        <v>41</v>
      </c>
      <c r="E407" s="3">
        <v>24700</v>
      </c>
      <c r="F407" s="3">
        <v>36</v>
      </c>
      <c r="G407" s="3">
        <v>12.46</v>
      </c>
      <c r="H407" s="3">
        <v>825.83</v>
      </c>
      <c r="I407" s="3">
        <v>23.3</v>
      </c>
      <c r="J407" s="3" t="s">
        <v>99</v>
      </c>
      <c r="K407" s="3">
        <v>15</v>
      </c>
      <c r="L407" s="3">
        <v>0</v>
      </c>
      <c r="M407" s="3">
        <v>61</v>
      </c>
      <c r="N407" s="3" t="s">
        <v>172</v>
      </c>
      <c r="O407" s="3" t="s">
        <v>72</v>
      </c>
      <c r="P407" s="3" t="s">
        <v>37</v>
      </c>
      <c r="Q407" s="3">
        <v>24</v>
      </c>
      <c r="R407" s="3">
        <v>105131</v>
      </c>
      <c r="S407" s="3">
        <v>634</v>
      </c>
      <c r="T407" s="3" t="s">
        <v>45</v>
      </c>
      <c r="U407" s="3">
        <v>0</v>
      </c>
      <c r="V407" s="3">
        <v>1216</v>
      </c>
      <c r="W407" s="5" t="str">
        <f t="shared" si="24"/>
        <v>600-649</v>
      </c>
      <c r="X407" s="5" t="str">
        <f t="shared" si="25"/>
        <v>Low (&lt;=35%)</v>
      </c>
      <c r="Y407" s="5" t="str">
        <f t="shared" si="26"/>
        <v>Employed</v>
      </c>
      <c r="Z407" s="3" t="str">
        <f t="shared" si="27"/>
        <v>Debt &amp; Assets</v>
      </c>
    </row>
    <row r="408" spans="1:26" ht="17.399999999999999" x14ac:dyDescent="0.35">
      <c r="A408" s="3" t="s">
        <v>823</v>
      </c>
      <c r="B408" s="3" t="s">
        <v>822</v>
      </c>
      <c r="C408" s="4">
        <v>45656</v>
      </c>
      <c r="D408" s="3" t="s">
        <v>64</v>
      </c>
      <c r="E408" s="3">
        <v>33900</v>
      </c>
      <c r="F408" s="3">
        <v>48</v>
      </c>
      <c r="G408" s="3">
        <v>12.49</v>
      </c>
      <c r="H408" s="3">
        <v>900.89</v>
      </c>
      <c r="I408" s="3">
        <v>24.2</v>
      </c>
      <c r="J408" s="3" t="s">
        <v>48</v>
      </c>
      <c r="K408" s="3">
        <v>0</v>
      </c>
      <c r="L408" s="3">
        <v>0</v>
      </c>
      <c r="M408" s="3">
        <v>61</v>
      </c>
      <c r="N408" s="3" t="s">
        <v>172</v>
      </c>
      <c r="O408" s="3" t="s">
        <v>72</v>
      </c>
      <c r="P408" s="3" t="s">
        <v>37</v>
      </c>
      <c r="Q408" s="3">
        <v>24</v>
      </c>
      <c r="R408" s="3">
        <v>105131</v>
      </c>
      <c r="S408" s="3">
        <v>634</v>
      </c>
      <c r="T408" s="3" t="s">
        <v>45</v>
      </c>
      <c r="U408" s="3">
        <v>0</v>
      </c>
      <c r="V408" s="3">
        <v>1216</v>
      </c>
      <c r="W408" s="5" t="str">
        <f t="shared" si="24"/>
        <v>600-649</v>
      </c>
      <c r="X408" s="5" t="str">
        <f t="shared" si="25"/>
        <v>Low (&lt;=35%)</v>
      </c>
      <c r="Y408" s="5" t="str">
        <f t="shared" si="26"/>
        <v>Employed</v>
      </c>
      <c r="Z408" s="3" t="str">
        <f t="shared" si="27"/>
        <v>Investment &amp; Growth</v>
      </c>
    </row>
    <row r="409" spans="1:26" ht="17.399999999999999" x14ac:dyDescent="0.35">
      <c r="A409" s="3" t="s">
        <v>824</v>
      </c>
      <c r="B409" s="3" t="s">
        <v>825</v>
      </c>
      <c r="C409" s="4">
        <v>45417</v>
      </c>
      <c r="D409" s="3" t="s">
        <v>31</v>
      </c>
      <c r="E409" s="3">
        <v>44600</v>
      </c>
      <c r="F409" s="3">
        <v>24</v>
      </c>
      <c r="G409" s="3">
        <v>6.46</v>
      </c>
      <c r="H409" s="3">
        <v>1985.96</v>
      </c>
      <c r="I409" s="3">
        <v>98.4</v>
      </c>
      <c r="J409" s="3" t="s">
        <v>99</v>
      </c>
      <c r="K409" s="3">
        <v>0</v>
      </c>
      <c r="L409" s="3">
        <v>0</v>
      </c>
      <c r="M409" s="3">
        <v>22</v>
      </c>
      <c r="N409" s="3" t="s">
        <v>128</v>
      </c>
      <c r="O409" s="3" t="s">
        <v>72</v>
      </c>
      <c r="P409" s="3" t="s">
        <v>85</v>
      </c>
      <c r="Q409" s="3">
        <v>0</v>
      </c>
      <c r="R409" s="3">
        <v>52919</v>
      </c>
      <c r="S409" s="3">
        <v>820</v>
      </c>
      <c r="T409" s="3" t="s">
        <v>38</v>
      </c>
      <c r="U409" s="3">
        <v>3</v>
      </c>
      <c r="V409" s="3">
        <v>2353</v>
      </c>
      <c r="W409" s="5" t="str">
        <f t="shared" si="24"/>
        <v>750+</v>
      </c>
      <c r="X409" s="5" t="str">
        <f t="shared" si="25"/>
        <v>Critical (&gt;75%)</v>
      </c>
      <c r="Y409" s="5" t="str">
        <f t="shared" si="26"/>
        <v>Retired</v>
      </c>
      <c r="Z409" s="3" t="str">
        <f t="shared" si="27"/>
        <v>Debt &amp; Assets</v>
      </c>
    </row>
    <row r="410" spans="1:26" ht="17.399999999999999" x14ac:dyDescent="0.35">
      <c r="A410" s="3" t="s">
        <v>826</v>
      </c>
      <c r="B410" s="3" t="s">
        <v>825</v>
      </c>
      <c r="C410" s="4">
        <v>45484</v>
      </c>
      <c r="D410" s="3" t="s">
        <v>64</v>
      </c>
      <c r="E410" s="3">
        <v>25000</v>
      </c>
      <c r="F410" s="3">
        <v>48</v>
      </c>
      <c r="G410" s="3">
        <v>8.91</v>
      </c>
      <c r="H410" s="3">
        <v>621.05999999999995</v>
      </c>
      <c r="I410" s="3">
        <v>67.400000000000006</v>
      </c>
      <c r="J410" s="3" t="s">
        <v>32</v>
      </c>
      <c r="K410" s="3">
        <v>112</v>
      </c>
      <c r="L410" s="3">
        <v>1</v>
      </c>
      <c r="M410" s="3">
        <v>22</v>
      </c>
      <c r="N410" s="3" t="s">
        <v>128</v>
      </c>
      <c r="O410" s="3" t="s">
        <v>72</v>
      </c>
      <c r="P410" s="3" t="s">
        <v>85</v>
      </c>
      <c r="Q410" s="3">
        <v>0</v>
      </c>
      <c r="R410" s="3">
        <v>52919</v>
      </c>
      <c r="S410" s="3">
        <v>820</v>
      </c>
      <c r="T410" s="3" t="s">
        <v>38</v>
      </c>
      <c r="U410" s="3">
        <v>3</v>
      </c>
      <c r="V410" s="3">
        <v>2353</v>
      </c>
      <c r="W410" s="5" t="str">
        <f t="shared" si="24"/>
        <v>750+</v>
      </c>
      <c r="X410" s="5" t="str">
        <f t="shared" si="25"/>
        <v>High (51-75%)</v>
      </c>
      <c r="Y410" s="5" t="str">
        <f t="shared" si="26"/>
        <v>Retired</v>
      </c>
      <c r="Z410" s="3" t="str">
        <f t="shared" si="27"/>
        <v>Investment &amp; Growth</v>
      </c>
    </row>
    <row r="411" spans="1:26" ht="17.399999999999999" x14ac:dyDescent="0.35">
      <c r="A411" s="3" t="s">
        <v>827</v>
      </c>
      <c r="B411" s="3" t="s">
        <v>828</v>
      </c>
      <c r="C411" s="4">
        <v>45531</v>
      </c>
      <c r="D411" s="3" t="s">
        <v>52</v>
      </c>
      <c r="E411" s="3">
        <v>48500</v>
      </c>
      <c r="F411" s="3">
        <v>36</v>
      </c>
      <c r="G411" s="3">
        <v>11.66</v>
      </c>
      <c r="H411" s="3">
        <v>1603.03</v>
      </c>
      <c r="I411" s="3">
        <v>75.900000000000006</v>
      </c>
      <c r="J411" s="3" t="s">
        <v>99</v>
      </c>
      <c r="K411" s="3">
        <v>0</v>
      </c>
      <c r="L411" s="3">
        <v>0</v>
      </c>
      <c r="M411" s="3">
        <v>36</v>
      </c>
      <c r="N411" s="3" t="s">
        <v>128</v>
      </c>
      <c r="O411" s="3" t="s">
        <v>43</v>
      </c>
      <c r="P411" s="3" t="s">
        <v>37</v>
      </c>
      <c r="Q411" s="3">
        <v>2</v>
      </c>
      <c r="R411" s="3">
        <v>72256</v>
      </c>
      <c r="S411" s="3">
        <v>704</v>
      </c>
      <c r="T411" s="3" t="s">
        <v>38</v>
      </c>
      <c r="U411" s="3">
        <v>0</v>
      </c>
      <c r="V411" s="3">
        <v>2966</v>
      </c>
      <c r="W411" s="5" t="str">
        <f t="shared" si="24"/>
        <v>700-749</v>
      </c>
      <c r="X411" s="5" t="str">
        <f t="shared" si="25"/>
        <v>Critical (&gt;75%)</v>
      </c>
      <c r="Y411" s="5" t="str">
        <f t="shared" si="26"/>
        <v>Employed</v>
      </c>
      <c r="Z411" s="3" t="str">
        <f t="shared" si="27"/>
        <v>Investment &amp; Growth</v>
      </c>
    </row>
    <row r="412" spans="1:26" ht="17.399999999999999" x14ac:dyDescent="0.35">
      <c r="A412" s="3" t="s">
        <v>829</v>
      </c>
      <c r="B412" s="3" t="s">
        <v>830</v>
      </c>
      <c r="C412" s="4">
        <v>45394</v>
      </c>
      <c r="D412" s="3" t="s">
        <v>31</v>
      </c>
      <c r="E412" s="3">
        <v>47200</v>
      </c>
      <c r="F412" s="3">
        <v>48</v>
      </c>
      <c r="G412" s="3">
        <v>13</v>
      </c>
      <c r="H412" s="3">
        <v>1266.26</v>
      </c>
      <c r="I412" s="3">
        <v>21.4</v>
      </c>
      <c r="J412" s="3" t="s">
        <v>48</v>
      </c>
      <c r="K412" s="3">
        <v>0</v>
      </c>
      <c r="L412" s="3">
        <v>0</v>
      </c>
      <c r="M412" s="3">
        <v>27</v>
      </c>
      <c r="N412" s="3" t="s">
        <v>115</v>
      </c>
      <c r="O412" s="3" t="s">
        <v>72</v>
      </c>
      <c r="P412" s="3" t="s">
        <v>28</v>
      </c>
      <c r="Q412" s="3">
        <v>7</v>
      </c>
      <c r="R412" s="3">
        <v>117172</v>
      </c>
      <c r="S412" s="3">
        <v>716</v>
      </c>
      <c r="T412" s="3" t="s">
        <v>38</v>
      </c>
      <c r="U412" s="3">
        <v>0</v>
      </c>
      <c r="V412" s="3">
        <v>819</v>
      </c>
      <c r="W412" s="5" t="str">
        <f t="shared" si="24"/>
        <v>700-749</v>
      </c>
      <c r="X412" s="5" t="str">
        <f t="shared" si="25"/>
        <v>Low (&lt;=35%)</v>
      </c>
      <c r="Y412" s="5" t="str">
        <f t="shared" si="26"/>
        <v>Self-Employed</v>
      </c>
      <c r="Z412" s="3" t="str">
        <f t="shared" si="27"/>
        <v>Debt &amp; Assets</v>
      </c>
    </row>
    <row r="413" spans="1:26" ht="17.399999999999999" x14ac:dyDescent="0.35">
      <c r="A413" s="3" t="s">
        <v>831</v>
      </c>
      <c r="B413" s="3" t="s">
        <v>832</v>
      </c>
      <c r="C413" s="4">
        <v>45801</v>
      </c>
      <c r="D413" s="3" t="s">
        <v>35</v>
      </c>
      <c r="E413" s="3">
        <v>39700</v>
      </c>
      <c r="F413" s="3">
        <v>60</v>
      </c>
      <c r="G413" s="3">
        <v>7.59</v>
      </c>
      <c r="H413" s="3">
        <v>797.21</v>
      </c>
      <c r="I413" s="3">
        <v>65.400000000000006</v>
      </c>
      <c r="J413" s="3" t="s">
        <v>99</v>
      </c>
      <c r="K413" s="3">
        <v>0</v>
      </c>
      <c r="L413" s="3">
        <v>0</v>
      </c>
      <c r="M413" s="3">
        <v>38</v>
      </c>
      <c r="N413" s="3" t="s">
        <v>26</v>
      </c>
      <c r="O413" s="3" t="s">
        <v>72</v>
      </c>
      <c r="P413" s="3" t="s">
        <v>28</v>
      </c>
      <c r="Q413" s="3">
        <v>13</v>
      </c>
      <c r="R413" s="3">
        <v>58731</v>
      </c>
      <c r="S413" s="3">
        <v>754</v>
      </c>
      <c r="T413" s="3" t="s">
        <v>29</v>
      </c>
      <c r="U413" s="3">
        <v>1</v>
      </c>
      <c r="V413" s="3">
        <v>2402</v>
      </c>
      <c r="W413" s="5" t="str">
        <f t="shared" si="24"/>
        <v>750+</v>
      </c>
      <c r="X413" s="5" t="str">
        <f t="shared" si="25"/>
        <v>High (51-75%)</v>
      </c>
      <c r="Y413" s="5" t="str">
        <f t="shared" si="26"/>
        <v>Self-Employed</v>
      </c>
      <c r="Z413" s="3" t="str">
        <f t="shared" si="27"/>
        <v>Consumer &amp; Personal</v>
      </c>
    </row>
    <row r="414" spans="1:26" ht="17.399999999999999" x14ac:dyDescent="0.35">
      <c r="A414" s="3" t="s">
        <v>833</v>
      </c>
      <c r="B414" s="3" t="s">
        <v>834</v>
      </c>
      <c r="C414" s="4">
        <v>45538</v>
      </c>
      <c r="D414" s="3" t="s">
        <v>24</v>
      </c>
      <c r="E414" s="3">
        <v>17000</v>
      </c>
      <c r="F414" s="3">
        <v>12</v>
      </c>
      <c r="G414" s="3">
        <v>8.58</v>
      </c>
      <c r="H414" s="3">
        <v>1483.37</v>
      </c>
      <c r="I414" s="3">
        <v>33.700000000000003</v>
      </c>
      <c r="J414" s="3" t="s">
        <v>25</v>
      </c>
      <c r="K414" s="3">
        <v>0</v>
      </c>
      <c r="L414" s="3">
        <v>0</v>
      </c>
      <c r="M414" s="3">
        <v>44</v>
      </c>
      <c r="N414" s="3" t="s">
        <v>62</v>
      </c>
      <c r="O414" s="3" t="s">
        <v>43</v>
      </c>
      <c r="P414" s="3" t="s">
        <v>37</v>
      </c>
      <c r="Q414" s="3">
        <v>20</v>
      </c>
      <c r="R414" s="3">
        <v>71191</v>
      </c>
      <c r="S414" s="3">
        <v>830</v>
      </c>
      <c r="T414" s="3" t="s">
        <v>29</v>
      </c>
      <c r="U414" s="3">
        <v>0</v>
      </c>
      <c r="V414" s="3">
        <v>515</v>
      </c>
      <c r="W414" s="5" t="str">
        <f t="shared" si="24"/>
        <v>750+</v>
      </c>
      <c r="X414" s="5" t="str">
        <f t="shared" si="25"/>
        <v>Low (&lt;=35%)</v>
      </c>
      <c r="Y414" s="5" t="str">
        <f t="shared" si="26"/>
        <v>Employed</v>
      </c>
      <c r="Z414" s="3" t="str">
        <f t="shared" si="27"/>
        <v>Consumer &amp; Personal</v>
      </c>
    </row>
    <row r="415" spans="1:26" ht="17.399999999999999" x14ac:dyDescent="0.35">
      <c r="A415" s="3" t="s">
        <v>835</v>
      </c>
      <c r="B415" s="3" t="s">
        <v>836</v>
      </c>
      <c r="C415" s="4">
        <v>45626</v>
      </c>
      <c r="D415" s="3" t="s">
        <v>61</v>
      </c>
      <c r="E415" s="3">
        <v>36400</v>
      </c>
      <c r="F415" s="3">
        <v>24</v>
      </c>
      <c r="G415" s="3">
        <v>15.11</v>
      </c>
      <c r="H415" s="3">
        <v>1766.82</v>
      </c>
      <c r="I415" s="3">
        <v>37.6</v>
      </c>
      <c r="J415" s="3" t="s">
        <v>48</v>
      </c>
      <c r="K415" s="3">
        <v>0</v>
      </c>
      <c r="L415" s="3">
        <v>0</v>
      </c>
      <c r="M415" s="3">
        <v>24</v>
      </c>
      <c r="N415" s="3" t="s">
        <v>78</v>
      </c>
      <c r="O415" s="3" t="s">
        <v>79</v>
      </c>
      <c r="P415" s="3" t="s">
        <v>37</v>
      </c>
      <c r="Q415" s="3">
        <v>2</v>
      </c>
      <c r="R415" s="3">
        <v>73366</v>
      </c>
      <c r="S415" s="3">
        <v>572</v>
      </c>
      <c r="T415" s="3" t="s">
        <v>38</v>
      </c>
      <c r="U415" s="3">
        <v>0</v>
      </c>
      <c r="V415" s="3">
        <v>534</v>
      </c>
      <c r="W415" s="5" t="str">
        <f t="shared" si="24"/>
        <v>520-599</v>
      </c>
      <c r="X415" s="5" t="str">
        <f t="shared" si="25"/>
        <v>Manageable (36-50%)</v>
      </c>
      <c r="Y415" s="5" t="str">
        <f t="shared" si="26"/>
        <v>Employed</v>
      </c>
      <c r="Z415" s="3" t="str">
        <f t="shared" si="27"/>
        <v>Investment &amp; Growth</v>
      </c>
    </row>
    <row r="416" spans="1:26" ht="17.399999999999999" x14ac:dyDescent="0.35">
      <c r="A416" s="3" t="s">
        <v>837</v>
      </c>
      <c r="B416" s="3" t="s">
        <v>838</v>
      </c>
      <c r="C416" s="4">
        <v>45795</v>
      </c>
      <c r="D416" s="3" t="s">
        <v>24</v>
      </c>
      <c r="E416" s="3">
        <v>34200</v>
      </c>
      <c r="F416" s="3">
        <v>24</v>
      </c>
      <c r="G416" s="3">
        <v>15.53</v>
      </c>
      <c r="H416" s="3">
        <v>1666.87</v>
      </c>
      <c r="I416" s="3">
        <v>73.900000000000006</v>
      </c>
      <c r="J416" s="3" t="s">
        <v>32</v>
      </c>
      <c r="K416" s="3">
        <v>115</v>
      </c>
      <c r="L416" s="3">
        <v>1</v>
      </c>
      <c r="M416" s="3">
        <v>27</v>
      </c>
      <c r="N416" s="3" t="s">
        <v>213</v>
      </c>
      <c r="O416" s="3" t="s">
        <v>79</v>
      </c>
      <c r="P416" s="3" t="s">
        <v>85</v>
      </c>
      <c r="Q416" s="3">
        <v>6</v>
      </c>
      <c r="R416" s="3">
        <v>42400</v>
      </c>
      <c r="S416" s="3">
        <v>545</v>
      </c>
      <c r="T416" s="3" t="s">
        <v>29</v>
      </c>
      <c r="U416" s="3">
        <v>2</v>
      </c>
      <c r="V416" s="3">
        <v>943</v>
      </c>
      <c r="W416" s="5" t="str">
        <f t="shared" si="24"/>
        <v>520-599</v>
      </c>
      <c r="X416" s="5" t="str">
        <f t="shared" si="25"/>
        <v>High (51-75%)</v>
      </c>
      <c r="Y416" s="5" t="str">
        <f t="shared" si="26"/>
        <v>Retired</v>
      </c>
      <c r="Z416" s="3" t="str">
        <f t="shared" si="27"/>
        <v>Consumer &amp; Personal</v>
      </c>
    </row>
    <row r="417" spans="1:26" ht="17.399999999999999" x14ac:dyDescent="0.35">
      <c r="A417" s="3" t="s">
        <v>839</v>
      </c>
      <c r="B417" s="3" t="s">
        <v>840</v>
      </c>
      <c r="C417" s="4">
        <v>45682</v>
      </c>
      <c r="D417" s="3" t="s">
        <v>77</v>
      </c>
      <c r="E417" s="3">
        <v>22100</v>
      </c>
      <c r="F417" s="3">
        <v>36</v>
      </c>
      <c r="G417" s="3">
        <v>8.42</v>
      </c>
      <c r="H417" s="3">
        <v>696.82</v>
      </c>
      <c r="I417" s="3">
        <v>47.8</v>
      </c>
      <c r="J417" s="3" t="s">
        <v>25</v>
      </c>
      <c r="K417" s="3">
        <v>0</v>
      </c>
      <c r="L417" s="3">
        <v>0</v>
      </c>
      <c r="M417" s="3">
        <v>25</v>
      </c>
      <c r="N417" s="3" t="s">
        <v>119</v>
      </c>
      <c r="O417" s="3" t="s">
        <v>27</v>
      </c>
      <c r="P417" s="3" t="s">
        <v>37</v>
      </c>
      <c r="Q417" s="3">
        <v>5</v>
      </c>
      <c r="R417" s="3">
        <v>29087</v>
      </c>
      <c r="S417" s="3">
        <v>808</v>
      </c>
      <c r="T417" s="3" t="s">
        <v>29</v>
      </c>
      <c r="U417" s="3">
        <v>0</v>
      </c>
      <c r="V417" s="3">
        <v>462</v>
      </c>
      <c r="W417" s="5" t="str">
        <f t="shared" si="24"/>
        <v>750+</v>
      </c>
      <c r="X417" s="5" t="str">
        <f t="shared" si="25"/>
        <v>Manageable (36-50%)</v>
      </c>
      <c r="Y417" s="5" t="str">
        <f t="shared" si="26"/>
        <v>Employed</v>
      </c>
      <c r="Z417" s="3" t="str">
        <f t="shared" si="27"/>
        <v>Consumer &amp; Personal</v>
      </c>
    </row>
    <row r="418" spans="1:26" ht="17.399999999999999" x14ac:dyDescent="0.35">
      <c r="A418" s="3" t="s">
        <v>841</v>
      </c>
      <c r="B418" s="3" t="s">
        <v>840</v>
      </c>
      <c r="C418" s="4">
        <v>45406</v>
      </c>
      <c r="D418" s="3" t="s">
        <v>31</v>
      </c>
      <c r="E418" s="3">
        <v>9800</v>
      </c>
      <c r="F418" s="3">
        <v>12</v>
      </c>
      <c r="G418" s="3">
        <v>7.99</v>
      </c>
      <c r="H418" s="3">
        <v>852.44</v>
      </c>
      <c r="I418" s="3">
        <v>54.2</v>
      </c>
      <c r="J418" s="3" t="s">
        <v>32</v>
      </c>
      <c r="K418" s="3">
        <v>78</v>
      </c>
      <c r="L418" s="3">
        <v>1</v>
      </c>
      <c r="M418" s="3">
        <v>25</v>
      </c>
      <c r="N418" s="3" t="s">
        <v>119</v>
      </c>
      <c r="O418" s="3" t="s">
        <v>27</v>
      </c>
      <c r="P418" s="3" t="s">
        <v>37</v>
      </c>
      <c r="Q418" s="3">
        <v>5</v>
      </c>
      <c r="R418" s="3">
        <v>29087</v>
      </c>
      <c r="S418" s="3">
        <v>808</v>
      </c>
      <c r="T418" s="3" t="s">
        <v>29</v>
      </c>
      <c r="U418" s="3">
        <v>0</v>
      </c>
      <c r="V418" s="3">
        <v>462</v>
      </c>
      <c r="W418" s="5" t="str">
        <f t="shared" si="24"/>
        <v>750+</v>
      </c>
      <c r="X418" s="5" t="str">
        <f t="shared" si="25"/>
        <v>High (51-75%)</v>
      </c>
      <c r="Y418" s="5" t="str">
        <f t="shared" si="26"/>
        <v>Employed</v>
      </c>
      <c r="Z418" s="3" t="str">
        <f t="shared" si="27"/>
        <v>Debt &amp; Assets</v>
      </c>
    </row>
    <row r="419" spans="1:26" ht="17.399999999999999" x14ac:dyDescent="0.35">
      <c r="A419" s="3" t="s">
        <v>842</v>
      </c>
      <c r="B419" s="3" t="s">
        <v>843</v>
      </c>
      <c r="C419" s="4">
        <v>45293</v>
      </c>
      <c r="D419" s="3" t="s">
        <v>61</v>
      </c>
      <c r="E419" s="3">
        <v>7000</v>
      </c>
      <c r="F419" s="3">
        <v>36</v>
      </c>
      <c r="G419" s="3">
        <v>11.75</v>
      </c>
      <c r="H419" s="3">
        <v>231.67</v>
      </c>
      <c r="I419" s="3">
        <v>26.4</v>
      </c>
      <c r="J419" s="3" t="s">
        <v>48</v>
      </c>
      <c r="K419" s="3">
        <v>0</v>
      </c>
      <c r="L419" s="3">
        <v>0</v>
      </c>
      <c r="M419" s="3">
        <v>37</v>
      </c>
      <c r="N419" s="3" t="s">
        <v>96</v>
      </c>
      <c r="O419" s="3" t="s">
        <v>27</v>
      </c>
      <c r="P419" s="3" t="s">
        <v>37</v>
      </c>
      <c r="Q419" s="3">
        <v>4</v>
      </c>
      <c r="R419" s="3">
        <v>41748</v>
      </c>
      <c r="S419" s="3">
        <v>781</v>
      </c>
      <c r="T419" s="3" t="s">
        <v>38</v>
      </c>
      <c r="U419" s="3">
        <v>1</v>
      </c>
      <c r="V419" s="3">
        <v>686</v>
      </c>
      <c r="W419" s="5" t="str">
        <f t="shared" si="24"/>
        <v>750+</v>
      </c>
      <c r="X419" s="5" t="str">
        <f t="shared" si="25"/>
        <v>Low (&lt;=35%)</v>
      </c>
      <c r="Y419" s="5" t="str">
        <f t="shared" si="26"/>
        <v>Employed</v>
      </c>
      <c r="Z419" s="3" t="str">
        <f t="shared" si="27"/>
        <v>Investment &amp; Growth</v>
      </c>
    </row>
    <row r="420" spans="1:26" ht="17.399999999999999" x14ac:dyDescent="0.35">
      <c r="A420" s="3" t="s">
        <v>844</v>
      </c>
      <c r="B420" s="3" t="s">
        <v>845</v>
      </c>
      <c r="C420" s="4">
        <v>45519</v>
      </c>
      <c r="D420" s="3" t="s">
        <v>31</v>
      </c>
      <c r="E420" s="3">
        <v>12900</v>
      </c>
      <c r="F420" s="3">
        <v>24</v>
      </c>
      <c r="G420" s="3">
        <v>12.02</v>
      </c>
      <c r="H420" s="3">
        <v>607.37</v>
      </c>
      <c r="I420" s="3">
        <v>26.4</v>
      </c>
      <c r="J420" s="3" t="s">
        <v>32</v>
      </c>
      <c r="K420" s="3">
        <v>32</v>
      </c>
      <c r="L420" s="3">
        <v>1</v>
      </c>
      <c r="M420" s="3">
        <v>64</v>
      </c>
      <c r="N420" s="3" t="s">
        <v>53</v>
      </c>
      <c r="O420" s="3" t="s">
        <v>43</v>
      </c>
      <c r="P420" s="3" t="s">
        <v>37</v>
      </c>
      <c r="Q420" s="3">
        <v>10</v>
      </c>
      <c r="R420" s="3">
        <v>46787</v>
      </c>
      <c r="S420" s="3">
        <v>635</v>
      </c>
      <c r="T420" s="3" t="s">
        <v>45</v>
      </c>
      <c r="U420" s="3">
        <v>1</v>
      </c>
      <c r="V420" s="3">
        <v>420</v>
      </c>
      <c r="W420" s="5" t="str">
        <f t="shared" si="24"/>
        <v>600-649</v>
      </c>
      <c r="X420" s="5" t="str">
        <f t="shared" si="25"/>
        <v>Low (&lt;=35%)</v>
      </c>
      <c r="Y420" s="5" t="str">
        <f t="shared" si="26"/>
        <v>Employed</v>
      </c>
      <c r="Z420" s="3" t="str">
        <f t="shared" si="27"/>
        <v>Debt &amp; Assets</v>
      </c>
    </row>
    <row r="421" spans="1:26" ht="17.399999999999999" x14ac:dyDescent="0.35">
      <c r="A421" s="3" t="s">
        <v>846</v>
      </c>
      <c r="B421" s="3" t="s">
        <v>847</v>
      </c>
      <c r="C421" s="4">
        <v>45803</v>
      </c>
      <c r="D421" s="3" t="s">
        <v>24</v>
      </c>
      <c r="E421" s="3">
        <v>32200</v>
      </c>
      <c r="F421" s="3">
        <v>36</v>
      </c>
      <c r="G421" s="3">
        <v>10.02</v>
      </c>
      <c r="H421" s="3">
        <v>1039.31</v>
      </c>
      <c r="I421" s="3">
        <v>45.1</v>
      </c>
      <c r="J421" s="3" t="s">
        <v>48</v>
      </c>
      <c r="K421" s="3">
        <v>0</v>
      </c>
      <c r="L421" s="3">
        <v>0</v>
      </c>
      <c r="M421" s="3">
        <v>47</v>
      </c>
      <c r="N421" s="3" t="s">
        <v>149</v>
      </c>
      <c r="O421" s="3" t="s">
        <v>43</v>
      </c>
      <c r="P421" s="3" t="s">
        <v>44</v>
      </c>
      <c r="Q421" s="3">
        <v>17</v>
      </c>
      <c r="R421" s="3">
        <v>57507</v>
      </c>
      <c r="S421" s="3">
        <v>850</v>
      </c>
      <c r="T421" s="3" t="s">
        <v>45</v>
      </c>
      <c r="U421" s="3">
        <v>3</v>
      </c>
      <c r="V421" s="3">
        <v>1124</v>
      </c>
      <c r="W421" s="5" t="str">
        <f t="shared" si="24"/>
        <v>750+</v>
      </c>
      <c r="X421" s="5" t="str">
        <f t="shared" si="25"/>
        <v>Manageable (36-50%)</v>
      </c>
      <c r="Y421" s="5" t="str">
        <f t="shared" si="26"/>
        <v>Employed</v>
      </c>
      <c r="Z421" s="3" t="str">
        <f t="shared" si="27"/>
        <v>Consumer &amp; Personal</v>
      </c>
    </row>
    <row r="422" spans="1:26" ht="17.399999999999999" x14ac:dyDescent="0.35">
      <c r="A422" s="3" t="s">
        <v>848</v>
      </c>
      <c r="B422" s="3" t="s">
        <v>849</v>
      </c>
      <c r="C422" s="4">
        <v>45781</v>
      </c>
      <c r="D422" s="3" t="s">
        <v>67</v>
      </c>
      <c r="E422" s="3">
        <v>11300</v>
      </c>
      <c r="F422" s="3">
        <v>12</v>
      </c>
      <c r="G422" s="3">
        <v>10.33</v>
      </c>
      <c r="H422" s="3">
        <v>995.18</v>
      </c>
      <c r="I422" s="3">
        <v>47.5</v>
      </c>
      <c r="J422" s="3" t="s">
        <v>48</v>
      </c>
      <c r="K422" s="3">
        <v>0</v>
      </c>
      <c r="L422" s="3">
        <v>0</v>
      </c>
      <c r="M422" s="3">
        <v>50</v>
      </c>
      <c r="N422" s="3" t="s">
        <v>179</v>
      </c>
      <c r="O422" s="3" t="s">
        <v>27</v>
      </c>
      <c r="P422" s="3" t="s">
        <v>37</v>
      </c>
      <c r="Q422" s="3">
        <v>18</v>
      </c>
      <c r="R422" s="3">
        <v>31671</v>
      </c>
      <c r="S422" s="3">
        <v>662</v>
      </c>
      <c r="T422" s="3" t="s">
        <v>38</v>
      </c>
      <c r="U422" s="3">
        <v>2</v>
      </c>
      <c r="V422" s="3">
        <v>259</v>
      </c>
      <c r="W422" s="5" t="str">
        <f t="shared" si="24"/>
        <v>650-699</v>
      </c>
      <c r="X422" s="5" t="str">
        <f t="shared" si="25"/>
        <v>Manageable (36-50%)</v>
      </c>
      <c r="Y422" s="5" t="str">
        <f t="shared" si="26"/>
        <v>Employed</v>
      </c>
      <c r="Z422" s="3" t="str">
        <f t="shared" si="27"/>
        <v>Debt &amp; Assets</v>
      </c>
    </row>
    <row r="423" spans="1:26" ht="17.399999999999999" x14ac:dyDescent="0.35">
      <c r="A423" s="3" t="s">
        <v>850</v>
      </c>
      <c r="B423" s="3" t="s">
        <v>851</v>
      </c>
      <c r="C423" s="4">
        <v>45522</v>
      </c>
      <c r="D423" s="3" t="s">
        <v>67</v>
      </c>
      <c r="E423" s="3">
        <v>18000</v>
      </c>
      <c r="F423" s="3">
        <v>24</v>
      </c>
      <c r="G423" s="3">
        <v>10.31</v>
      </c>
      <c r="H423" s="3">
        <v>833.19</v>
      </c>
      <c r="I423" s="3">
        <v>44.6</v>
      </c>
      <c r="J423" s="3" t="s">
        <v>25</v>
      </c>
      <c r="K423" s="3">
        <v>0</v>
      </c>
      <c r="L423" s="3">
        <v>0</v>
      </c>
      <c r="M423" s="3">
        <v>64</v>
      </c>
      <c r="N423" s="3" t="s">
        <v>57</v>
      </c>
      <c r="O423" s="3" t="s">
        <v>79</v>
      </c>
      <c r="P423" s="3" t="s">
        <v>37</v>
      </c>
      <c r="Q423" s="3">
        <v>14</v>
      </c>
      <c r="R423" s="3">
        <v>74246</v>
      </c>
      <c r="S423" s="3">
        <v>836</v>
      </c>
      <c r="T423" s="3" t="s">
        <v>45</v>
      </c>
      <c r="U423" s="3">
        <v>1</v>
      </c>
      <c r="V423" s="3">
        <v>1926</v>
      </c>
      <c r="W423" s="5" t="str">
        <f t="shared" si="24"/>
        <v>750+</v>
      </c>
      <c r="X423" s="5" t="str">
        <f t="shared" si="25"/>
        <v>Manageable (36-50%)</v>
      </c>
      <c r="Y423" s="5" t="str">
        <f t="shared" si="26"/>
        <v>Employed</v>
      </c>
      <c r="Z423" s="3" t="str">
        <f t="shared" si="27"/>
        <v>Debt &amp; Assets</v>
      </c>
    </row>
    <row r="424" spans="1:26" ht="17.399999999999999" x14ac:dyDescent="0.35">
      <c r="A424" s="3" t="s">
        <v>852</v>
      </c>
      <c r="B424" s="3" t="s">
        <v>851</v>
      </c>
      <c r="C424" s="4">
        <v>45455</v>
      </c>
      <c r="D424" s="3" t="s">
        <v>56</v>
      </c>
      <c r="E424" s="3">
        <v>36900</v>
      </c>
      <c r="F424" s="3">
        <v>36</v>
      </c>
      <c r="G424" s="3">
        <v>10.99</v>
      </c>
      <c r="H424" s="3">
        <v>1207.8800000000001</v>
      </c>
      <c r="I424" s="3">
        <v>50.7</v>
      </c>
      <c r="J424" s="3" t="s">
        <v>48</v>
      </c>
      <c r="K424" s="3">
        <v>0</v>
      </c>
      <c r="L424" s="3">
        <v>0</v>
      </c>
      <c r="M424" s="3">
        <v>64</v>
      </c>
      <c r="N424" s="3" t="s">
        <v>57</v>
      </c>
      <c r="O424" s="3" t="s">
        <v>79</v>
      </c>
      <c r="P424" s="3" t="s">
        <v>37</v>
      </c>
      <c r="Q424" s="3">
        <v>14</v>
      </c>
      <c r="R424" s="3">
        <v>74246</v>
      </c>
      <c r="S424" s="3">
        <v>836</v>
      </c>
      <c r="T424" s="3" t="s">
        <v>45</v>
      </c>
      <c r="U424" s="3">
        <v>1</v>
      </c>
      <c r="V424" s="3">
        <v>1926</v>
      </c>
      <c r="W424" s="5" t="str">
        <f t="shared" si="24"/>
        <v>750+</v>
      </c>
      <c r="X424" s="5" t="str">
        <f t="shared" si="25"/>
        <v>High (51-75%)</v>
      </c>
      <c r="Y424" s="5" t="str">
        <f t="shared" si="26"/>
        <v>Employed</v>
      </c>
      <c r="Z424" s="3" t="str">
        <f t="shared" si="27"/>
        <v>Consumer &amp; Personal</v>
      </c>
    </row>
    <row r="425" spans="1:26" ht="17.399999999999999" x14ac:dyDescent="0.35">
      <c r="A425" s="3" t="s">
        <v>853</v>
      </c>
      <c r="B425" s="3" t="s">
        <v>854</v>
      </c>
      <c r="C425" s="4">
        <v>45581</v>
      </c>
      <c r="D425" s="3" t="s">
        <v>52</v>
      </c>
      <c r="E425" s="3">
        <v>20800</v>
      </c>
      <c r="F425" s="3">
        <v>60</v>
      </c>
      <c r="G425" s="3">
        <v>12.8</v>
      </c>
      <c r="H425" s="3">
        <v>471.14</v>
      </c>
      <c r="I425" s="3">
        <v>52.9</v>
      </c>
      <c r="J425" s="3" t="s">
        <v>25</v>
      </c>
      <c r="K425" s="3">
        <v>0</v>
      </c>
      <c r="L425" s="3">
        <v>0</v>
      </c>
      <c r="M425" s="3">
        <v>56</v>
      </c>
      <c r="N425" s="3" t="s">
        <v>78</v>
      </c>
      <c r="O425" s="3" t="s">
        <v>43</v>
      </c>
      <c r="P425" s="3" t="s">
        <v>85</v>
      </c>
      <c r="Q425" s="3">
        <v>30</v>
      </c>
      <c r="R425" s="3">
        <v>46283</v>
      </c>
      <c r="S425" s="3">
        <v>650</v>
      </c>
      <c r="T425" s="3" t="s">
        <v>45</v>
      </c>
      <c r="U425" s="3">
        <v>3</v>
      </c>
      <c r="V425" s="3">
        <v>1570</v>
      </c>
      <c r="W425" s="5" t="str">
        <f t="shared" si="24"/>
        <v>650-699</v>
      </c>
      <c r="X425" s="5" t="str">
        <f t="shared" si="25"/>
        <v>High (51-75%)</v>
      </c>
      <c r="Y425" s="5" t="str">
        <f t="shared" si="26"/>
        <v>Retired</v>
      </c>
      <c r="Z425" s="3" t="str">
        <f t="shared" si="27"/>
        <v>Investment &amp; Growth</v>
      </c>
    </row>
    <row r="426" spans="1:26" ht="17.399999999999999" x14ac:dyDescent="0.35">
      <c r="A426" s="3" t="s">
        <v>855</v>
      </c>
      <c r="B426" s="3" t="s">
        <v>856</v>
      </c>
      <c r="C426" s="4">
        <v>45603</v>
      </c>
      <c r="D426" s="3" t="s">
        <v>56</v>
      </c>
      <c r="E426" s="3">
        <v>40000</v>
      </c>
      <c r="F426" s="3">
        <v>12</v>
      </c>
      <c r="G426" s="3">
        <v>10.08</v>
      </c>
      <c r="H426" s="3">
        <v>3518.12</v>
      </c>
      <c r="I426" s="3">
        <v>107.2</v>
      </c>
      <c r="J426" s="3" t="s">
        <v>48</v>
      </c>
      <c r="K426" s="3">
        <v>0</v>
      </c>
      <c r="L426" s="3">
        <v>0</v>
      </c>
      <c r="M426" s="3">
        <v>54</v>
      </c>
      <c r="N426" s="3" t="s">
        <v>179</v>
      </c>
      <c r="O426" s="3" t="s">
        <v>43</v>
      </c>
      <c r="P426" s="3" t="s">
        <v>37</v>
      </c>
      <c r="Q426" s="3">
        <v>9</v>
      </c>
      <c r="R426" s="3">
        <v>77060</v>
      </c>
      <c r="S426" s="3">
        <v>850</v>
      </c>
      <c r="T426" s="3" t="s">
        <v>38</v>
      </c>
      <c r="U426" s="3">
        <v>1</v>
      </c>
      <c r="V426" s="3">
        <v>3368</v>
      </c>
      <c r="W426" s="5" t="str">
        <f t="shared" si="24"/>
        <v>750+</v>
      </c>
      <c r="X426" s="5" t="str">
        <f t="shared" si="25"/>
        <v>Critical (&gt;75%)</v>
      </c>
      <c r="Y426" s="5" t="str">
        <f t="shared" si="26"/>
        <v>Employed</v>
      </c>
      <c r="Z426" s="3" t="str">
        <f t="shared" si="27"/>
        <v>Consumer &amp; Personal</v>
      </c>
    </row>
    <row r="427" spans="1:26" ht="17.399999999999999" x14ac:dyDescent="0.35">
      <c r="A427" s="3" t="s">
        <v>857</v>
      </c>
      <c r="B427" s="3" t="s">
        <v>858</v>
      </c>
      <c r="C427" s="4">
        <v>45301</v>
      </c>
      <c r="D427" s="3" t="s">
        <v>41</v>
      </c>
      <c r="E427" s="3">
        <v>12100</v>
      </c>
      <c r="F427" s="3">
        <v>24</v>
      </c>
      <c r="G427" s="3">
        <v>11.16</v>
      </c>
      <c r="H427" s="3">
        <v>564.85</v>
      </c>
      <c r="I427" s="3">
        <v>54.6</v>
      </c>
      <c r="J427" s="3" t="s">
        <v>99</v>
      </c>
      <c r="K427" s="3">
        <v>15</v>
      </c>
      <c r="L427" s="3">
        <v>0</v>
      </c>
      <c r="M427" s="3">
        <v>32</v>
      </c>
      <c r="N427" s="3" t="s">
        <v>102</v>
      </c>
      <c r="O427" s="3" t="s">
        <v>58</v>
      </c>
      <c r="P427" s="3" t="s">
        <v>44</v>
      </c>
      <c r="Q427" s="3">
        <v>1</v>
      </c>
      <c r="R427" s="3">
        <v>79686</v>
      </c>
      <c r="S427" s="3">
        <v>751</v>
      </c>
      <c r="T427" s="3" t="s">
        <v>29</v>
      </c>
      <c r="U427" s="3">
        <v>0</v>
      </c>
      <c r="V427" s="3">
        <v>3063</v>
      </c>
      <c r="W427" s="5" t="str">
        <f t="shared" si="24"/>
        <v>750+</v>
      </c>
      <c r="X427" s="5" t="str">
        <f t="shared" si="25"/>
        <v>High (51-75%)</v>
      </c>
      <c r="Y427" s="5" t="str">
        <f t="shared" si="26"/>
        <v>Employed</v>
      </c>
      <c r="Z427" s="3" t="str">
        <f t="shared" si="27"/>
        <v>Debt &amp; Assets</v>
      </c>
    </row>
    <row r="428" spans="1:26" ht="17.399999999999999" x14ac:dyDescent="0.35">
      <c r="A428" s="3" t="s">
        <v>859</v>
      </c>
      <c r="B428" s="3" t="s">
        <v>860</v>
      </c>
      <c r="C428" s="4">
        <v>45390</v>
      </c>
      <c r="D428" s="3" t="s">
        <v>56</v>
      </c>
      <c r="E428" s="3">
        <v>49200</v>
      </c>
      <c r="F428" s="3">
        <v>24</v>
      </c>
      <c r="G428" s="3">
        <v>14.9</v>
      </c>
      <c r="H428" s="3">
        <v>2383.21</v>
      </c>
      <c r="I428" s="3">
        <v>69.400000000000006</v>
      </c>
      <c r="J428" s="3" t="s">
        <v>32</v>
      </c>
      <c r="K428" s="3">
        <v>151</v>
      </c>
      <c r="L428" s="3">
        <v>1</v>
      </c>
      <c r="M428" s="3">
        <v>31</v>
      </c>
      <c r="N428" s="3" t="s">
        <v>78</v>
      </c>
      <c r="O428" s="3" t="s">
        <v>72</v>
      </c>
      <c r="P428" s="3" t="s">
        <v>37</v>
      </c>
      <c r="Q428" s="3">
        <v>1</v>
      </c>
      <c r="R428" s="3">
        <v>132747</v>
      </c>
      <c r="S428" s="3">
        <v>584</v>
      </c>
      <c r="T428" s="3" t="s">
        <v>45</v>
      </c>
      <c r="U428" s="3">
        <v>2</v>
      </c>
      <c r="V428" s="3">
        <v>5291</v>
      </c>
      <c r="W428" s="5" t="str">
        <f t="shared" si="24"/>
        <v>520-599</v>
      </c>
      <c r="X428" s="5" t="str">
        <f t="shared" si="25"/>
        <v>High (51-75%)</v>
      </c>
      <c r="Y428" s="5" t="str">
        <f t="shared" si="26"/>
        <v>Employed</v>
      </c>
      <c r="Z428" s="3" t="str">
        <f t="shared" si="27"/>
        <v>Consumer &amp; Personal</v>
      </c>
    </row>
    <row r="429" spans="1:26" ht="17.399999999999999" x14ac:dyDescent="0.35">
      <c r="A429" s="3" t="s">
        <v>861</v>
      </c>
      <c r="B429" s="3" t="s">
        <v>862</v>
      </c>
      <c r="C429" s="4">
        <v>45444</v>
      </c>
      <c r="D429" s="3" t="s">
        <v>67</v>
      </c>
      <c r="E429" s="3">
        <v>21600</v>
      </c>
      <c r="F429" s="3">
        <v>36</v>
      </c>
      <c r="G429" s="3">
        <v>8.8000000000000007</v>
      </c>
      <c r="H429" s="3">
        <v>684.87</v>
      </c>
      <c r="I429" s="3">
        <v>21.5</v>
      </c>
      <c r="J429" s="3" t="s">
        <v>48</v>
      </c>
      <c r="K429" s="3">
        <v>0</v>
      </c>
      <c r="L429" s="3">
        <v>0</v>
      </c>
      <c r="M429" s="3">
        <v>55</v>
      </c>
      <c r="N429" s="3" t="s">
        <v>84</v>
      </c>
      <c r="O429" s="3" t="s">
        <v>43</v>
      </c>
      <c r="P429" s="3" t="s">
        <v>44</v>
      </c>
      <c r="Q429" s="3">
        <v>33</v>
      </c>
      <c r="R429" s="3">
        <v>90781</v>
      </c>
      <c r="S429" s="3">
        <v>850</v>
      </c>
      <c r="T429" s="3" t="s">
        <v>29</v>
      </c>
      <c r="U429" s="3">
        <v>1</v>
      </c>
      <c r="V429" s="3">
        <v>938</v>
      </c>
      <c r="W429" s="5" t="str">
        <f t="shared" si="24"/>
        <v>750+</v>
      </c>
      <c r="X429" s="5" t="str">
        <f t="shared" si="25"/>
        <v>Low (&lt;=35%)</v>
      </c>
      <c r="Y429" s="5" t="str">
        <f t="shared" si="26"/>
        <v>Employed</v>
      </c>
      <c r="Z429" s="3" t="str">
        <f t="shared" si="27"/>
        <v>Debt &amp; Assets</v>
      </c>
    </row>
    <row r="430" spans="1:26" ht="17.399999999999999" x14ac:dyDescent="0.35">
      <c r="A430" s="3" t="s">
        <v>863</v>
      </c>
      <c r="B430" s="3" t="s">
        <v>864</v>
      </c>
      <c r="C430" s="4">
        <v>45676</v>
      </c>
      <c r="D430" s="3" t="s">
        <v>24</v>
      </c>
      <c r="E430" s="3">
        <v>12000</v>
      </c>
      <c r="F430" s="3">
        <v>24</v>
      </c>
      <c r="G430" s="3">
        <v>13.61</v>
      </c>
      <c r="H430" s="3">
        <v>573.95000000000005</v>
      </c>
      <c r="I430" s="3">
        <v>46.6</v>
      </c>
      <c r="J430" s="3" t="s">
        <v>99</v>
      </c>
      <c r="K430" s="3">
        <v>30</v>
      </c>
      <c r="L430" s="3">
        <v>0</v>
      </c>
      <c r="M430" s="3">
        <v>59</v>
      </c>
      <c r="N430" s="3" t="s">
        <v>340</v>
      </c>
      <c r="O430" s="3" t="s">
        <v>43</v>
      </c>
      <c r="P430" s="3" t="s">
        <v>85</v>
      </c>
      <c r="Q430" s="3">
        <v>6</v>
      </c>
      <c r="R430" s="3">
        <v>28195</v>
      </c>
      <c r="S430" s="3">
        <v>579</v>
      </c>
      <c r="T430" s="3" t="s">
        <v>29</v>
      </c>
      <c r="U430" s="3">
        <v>1</v>
      </c>
      <c r="V430" s="3">
        <v>521</v>
      </c>
      <c r="W430" s="5" t="str">
        <f t="shared" si="24"/>
        <v>520-599</v>
      </c>
      <c r="X430" s="5" t="str">
        <f t="shared" si="25"/>
        <v>Manageable (36-50%)</v>
      </c>
      <c r="Y430" s="5" t="str">
        <f t="shared" si="26"/>
        <v>Retired</v>
      </c>
      <c r="Z430" s="3" t="str">
        <f t="shared" si="27"/>
        <v>Consumer &amp; Personal</v>
      </c>
    </row>
    <row r="431" spans="1:26" ht="17.399999999999999" x14ac:dyDescent="0.35">
      <c r="A431" s="3" t="s">
        <v>865</v>
      </c>
      <c r="B431" s="3" t="s">
        <v>866</v>
      </c>
      <c r="C431" s="4">
        <v>45747</v>
      </c>
      <c r="D431" s="3" t="s">
        <v>24</v>
      </c>
      <c r="E431" s="3">
        <v>33200</v>
      </c>
      <c r="F431" s="3">
        <v>36</v>
      </c>
      <c r="G431" s="3">
        <v>10.3</v>
      </c>
      <c r="H431" s="3">
        <v>1075.95</v>
      </c>
      <c r="I431" s="3">
        <v>58.6</v>
      </c>
      <c r="J431" s="3" t="s">
        <v>48</v>
      </c>
      <c r="K431" s="3">
        <v>0</v>
      </c>
      <c r="L431" s="3">
        <v>0</v>
      </c>
      <c r="M431" s="3">
        <v>48</v>
      </c>
      <c r="N431" s="3" t="s">
        <v>78</v>
      </c>
      <c r="O431" s="3" t="s">
        <v>79</v>
      </c>
      <c r="P431" s="3" t="s">
        <v>28</v>
      </c>
      <c r="Q431" s="3">
        <v>1</v>
      </c>
      <c r="R431" s="3">
        <v>55827</v>
      </c>
      <c r="S431" s="3">
        <v>772</v>
      </c>
      <c r="T431" s="3" t="s">
        <v>38</v>
      </c>
      <c r="U431" s="3">
        <v>0</v>
      </c>
      <c r="V431" s="3">
        <v>1648</v>
      </c>
      <c r="W431" s="5" t="str">
        <f t="shared" si="24"/>
        <v>750+</v>
      </c>
      <c r="X431" s="5" t="str">
        <f t="shared" si="25"/>
        <v>High (51-75%)</v>
      </c>
      <c r="Y431" s="5" t="str">
        <f t="shared" si="26"/>
        <v>Self-Employed</v>
      </c>
      <c r="Z431" s="3" t="str">
        <f t="shared" si="27"/>
        <v>Consumer &amp; Personal</v>
      </c>
    </row>
    <row r="432" spans="1:26" ht="17.399999999999999" x14ac:dyDescent="0.35">
      <c r="A432" s="3" t="s">
        <v>867</v>
      </c>
      <c r="B432" s="3" t="s">
        <v>868</v>
      </c>
      <c r="C432" s="4">
        <v>45388</v>
      </c>
      <c r="D432" s="3" t="s">
        <v>35</v>
      </c>
      <c r="E432" s="3">
        <v>30200</v>
      </c>
      <c r="F432" s="3">
        <v>60</v>
      </c>
      <c r="G432" s="3">
        <v>11.38</v>
      </c>
      <c r="H432" s="3">
        <v>662.36</v>
      </c>
      <c r="I432" s="3">
        <v>31.8</v>
      </c>
      <c r="J432" s="3" t="s">
        <v>48</v>
      </c>
      <c r="K432" s="3">
        <v>0</v>
      </c>
      <c r="L432" s="3">
        <v>0</v>
      </c>
      <c r="M432" s="3">
        <v>66</v>
      </c>
      <c r="N432" s="3" t="s">
        <v>71</v>
      </c>
      <c r="O432" s="3" t="s">
        <v>43</v>
      </c>
      <c r="P432" s="3" t="s">
        <v>37</v>
      </c>
      <c r="Q432" s="3">
        <v>3</v>
      </c>
      <c r="R432" s="3">
        <v>96677</v>
      </c>
      <c r="S432" s="3">
        <v>661</v>
      </c>
      <c r="T432" s="3" t="s">
        <v>29</v>
      </c>
      <c r="U432" s="3">
        <v>0</v>
      </c>
      <c r="V432" s="3">
        <v>1903</v>
      </c>
      <c r="W432" s="5" t="str">
        <f t="shared" si="24"/>
        <v>650-699</v>
      </c>
      <c r="X432" s="5" t="str">
        <f t="shared" si="25"/>
        <v>Low (&lt;=35%)</v>
      </c>
      <c r="Y432" s="5" t="str">
        <f t="shared" si="26"/>
        <v>Employed</v>
      </c>
      <c r="Z432" s="3" t="str">
        <f t="shared" si="27"/>
        <v>Consumer &amp; Personal</v>
      </c>
    </row>
    <row r="433" spans="1:26" ht="17.399999999999999" x14ac:dyDescent="0.35">
      <c r="A433" s="3" t="s">
        <v>869</v>
      </c>
      <c r="B433" s="3" t="s">
        <v>870</v>
      </c>
      <c r="C433" s="4">
        <v>45481</v>
      </c>
      <c r="D433" s="3" t="s">
        <v>31</v>
      </c>
      <c r="E433" s="3">
        <v>8000</v>
      </c>
      <c r="F433" s="3">
        <v>36</v>
      </c>
      <c r="G433" s="3">
        <v>7.22</v>
      </c>
      <c r="H433" s="3">
        <v>247.82</v>
      </c>
      <c r="I433" s="3">
        <v>23.8</v>
      </c>
      <c r="J433" s="3" t="s">
        <v>48</v>
      </c>
      <c r="K433" s="3">
        <v>0</v>
      </c>
      <c r="L433" s="3">
        <v>0</v>
      </c>
      <c r="M433" s="3">
        <v>43</v>
      </c>
      <c r="N433" s="3" t="s">
        <v>340</v>
      </c>
      <c r="O433" s="3" t="s">
        <v>72</v>
      </c>
      <c r="P433" s="3" t="s">
        <v>37</v>
      </c>
      <c r="Q433" s="3">
        <v>22</v>
      </c>
      <c r="R433" s="3">
        <v>78653</v>
      </c>
      <c r="S433" s="3">
        <v>786</v>
      </c>
      <c r="T433" s="3" t="s">
        <v>29</v>
      </c>
      <c r="U433" s="3">
        <v>0</v>
      </c>
      <c r="V433" s="3">
        <v>1312</v>
      </c>
      <c r="W433" s="5" t="str">
        <f t="shared" si="24"/>
        <v>750+</v>
      </c>
      <c r="X433" s="5" t="str">
        <f t="shared" si="25"/>
        <v>Low (&lt;=35%)</v>
      </c>
      <c r="Y433" s="5" t="str">
        <f t="shared" si="26"/>
        <v>Employed</v>
      </c>
      <c r="Z433" s="3" t="str">
        <f t="shared" si="27"/>
        <v>Debt &amp; Assets</v>
      </c>
    </row>
    <row r="434" spans="1:26" ht="17.399999999999999" x14ac:dyDescent="0.35">
      <c r="A434" s="3" t="s">
        <v>871</v>
      </c>
      <c r="B434" s="3" t="s">
        <v>872</v>
      </c>
      <c r="C434" s="4">
        <v>45419</v>
      </c>
      <c r="D434" s="3" t="s">
        <v>35</v>
      </c>
      <c r="E434" s="3">
        <v>26900</v>
      </c>
      <c r="F434" s="3">
        <v>60</v>
      </c>
      <c r="G434" s="3">
        <v>8.5299999999999994</v>
      </c>
      <c r="H434" s="3">
        <v>552.28</v>
      </c>
      <c r="I434" s="3">
        <v>51.9</v>
      </c>
      <c r="J434" s="3" t="s">
        <v>99</v>
      </c>
      <c r="K434" s="3">
        <v>0</v>
      </c>
      <c r="L434" s="3">
        <v>0</v>
      </c>
      <c r="M434" s="3">
        <v>50</v>
      </c>
      <c r="N434" s="3" t="s">
        <v>105</v>
      </c>
      <c r="O434" s="3" t="s">
        <v>72</v>
      </c>
      <c r="P434" s="3" t="s">
        <v>37</v>
      </c>
      <c r="Q434" s="3">
        <v>20</v>
      </c>
      <c r="R434" s="3">
        <v>117130</v>
      </c>
      <c r="S434" s="3">
        <v>850</v>
      </c>
      <c r="T434" s="3" t="s">
        <v>38</v>
      </c>
      <c r="U434" s="3">
        <v>0</v>
      </c>
      <c r="V434" s="3">
        <v>4509</v>
      </c>
      <c r="W434" s="5" t="str">
        <f t="shared" si="24"/>
        <v>750+</v>
      </c>
      <c r="X434" s="5" t="str">
        <f t="shared" si="25"/>
        <v>High (51-75%)</v>
      </c>
      <c r="Y434" s="5" t="str">
        <f t="shared" si="26"/>
        <v>Employed</v>
      </c>
      <c r="Z434" s="3" t="str">
        <f t="shared" si="27"/>
        <v>Consumer &amp; Personal</v>
      </c>
    </row>
    <row r="435" spans="1:26" ht="17.399999999999999" x14ac:dyDescent="0.35">
      <c r="A435" s="3" t="s">
        <v>873</v>
      </c>
      <c r="B435" s="3" t="s">
        <v>872</v>
      </c>
      <c r="C435" s="4">
        <v>45749</v>
      </c>
      <c r="D435" s="3" t="s">
        <v>61</v>
      </c>
      <c r="E435" s="3">
        <v>30800</v>
      </c>
      <c r="F435" s="3">
        <v>24</v>
      </c>
      <c r="G435" s="3">
        <v>5.86</v>
      </c>
      <c r="H435" s="3">
        <v>1363.13</v>
      </c>
      <c r="I435" s="3">
        <v>60.2</v>
      </c>
      <c r="J435" s="3" t="s">
        <v>48</v>
      </c>
      <c r="K435" s="3">
        <v>0</v>
      </c>
      <c r="L435" s="3">
        <v>0</v>
      </c>
      <c r="M435" s="3">
        <v>50</v>
      </c>
      <c r="N435" s="3" t="s">
        <v>105</v>
      </c>
      <c r="O435" s="3" t="s">
        <v>72</v>
      </c>
      <c r="P435" s="3" t="s">
        <v>37</v>
      </c>
      <c r="Q435" s="3">
        <v>20</v>
      </c>
      <c r="R435" s="3">
        <v>117130</v>
      </c>
      <c r="S435" s="3">
        <v>850</v>
      </c>
      <c r="T435" s="3" t="s">
        <v>38</v>
      </c>
      <c r="U435" s="3">
        <v>0</v>
      </c>
      <c r="V435" s="3">
        <v>4509</v>
      </c>
      <c r="W435" s="5" t="str">
        <f t="shared" si="24"/>
        <v>750+</v>
      </c>
      <c r="X435" s="5" t="str">
        <f t="shared" si="25"/>
        <v>High (51-75%)</v>
      </c>
      <c r="Y435" s="5" t="str">
        <f t="shared" si="26"/>
        <v>Employed</v>
      </c>
      <c r="Z435" s="3" t="str">
        <f t="shared" si="27"/>
        <v>Investment &amp; Growth</v>
      </c>
    </row>
    <row r="436" spans="1:26" ht="17.399999999999999" x14ac:dyDescent="0.35">
      <c r="A436" s="3" t="s">
        <v>874</v>
      </c>
      <c r="B436" s="3" t="s">
        <v>875</v>
      </c>
      <c r="C436" s="4">
        <v>45419</v>
      </c>
      <c r="D436" s="3" t="s">
        <v>56</v>
      </c>
      <c r="E436" s="3">
        <v>14300</v>
      </c>
      <c r="F436" s="3">
        <v>12</v>
      </c>
      <c r="G436" s="3">
        <v>6.87</v>
      </c>
      <c r="H436" s="3">
        <v>1236.48</v>
      </c>
      <c r="I436" s="3">
        <v>23.6</v>
      </c>
      <c r="J436" s="3" t="s">
        <v>48</v>
      </c>
      <c r="K436" s="3">
        <v>0</v>
      </c>
      <c r="L436" s="3">
        <v>0</v>
      </c>
      <c r="M436" s="3">
        <v>53</v>
      </c>
      <c r="N436" s="3" t="s">
        <v>172</v>
      </c>
      <c r="O436" s="3" t="s">
        <v>72</v>
      </c>
      <c r="P436" s="3" t="s">
        <v>44</v>
      </c>
      <c r="Q436" s="3">
        <v>10</v>
      </c>
      <c r="R436" s="3">
        <v>125043</v>
      </c>
      <c r="S436" s="3">
        <v>813</v>
      </c>
      <c r="T436" s="3" t="s">
        <v>38</v>
      </c>
      <c r="U436" s="3">
        <v>1</v>
      </c>
      <c r="V436" s="3">
        <v>1227</v>
      </c>
      <c r="W436" s="5" t="str">
        <f t="shared" si="24"/>
        <v>750+</v>
      </c>
      <c r="X436" s="5" t="str">
        <f t="shared" si="25"/>
        <v>Low (&lt;=35%)</v>
      </c>
      <c r="Y436" s="5" t="str">
        <f t="shared" si="26"/>
        <v>Employed</v>
      </c>
      <c r="Z436" s="3" t="str">
        <f t="shared" si="27"/>
        <v>Consumer &amp; Personal</v>
      </c>
    </row>
    <row r="437" spans="1:26" ht="17.399999999999999" x14ac:dyDescent="0.35">
      <c r="A437" s="3" t="s">
        <v>876</v>
      </c>
      <c r="B437" s="3" t="s">
        <v>877</v>
      </c>
      <c r="C437" s="4">
        <v>45592</v>
      </c>
      <c r="D437" s="3" t="s">
        <v>67</v>
      </c>
      <c r="E437" s="3">
        <v>3900</v>
      </c>
      <c r="F437" s="3">
        <v>60</v>
      </c>
      <c r="G437" s="3">
        <v>13.91</v>
      </c>
      <c r="H437" s="3">
        <v>90.56</v>
      </c>
      <c r="I437" s="3">
        <v>24.5</v>
      </c>
      <c r="J437" s="3" t="s">
        <v>48</v>
      </c>
      <c r="K437" s="3">
        <v>0</v>
      </c>
      <c r="L437" s="3">
        <v>0</v>
      </c>
      <c r="M437" s="3">
        <v>55</v>
      </c>
      <c r="N437" s="3" t="s">
        <v>105</v>
      </c>
      <c r="O437" s="3" t="s">
        <v>72</v>
      </c>
      <c r="P437" s="3" t="s">
        <v>37</v>
      </c>
      <c r="Q437" s="3">
        <v>3</v>
      </c>
      <c r="R437" s="3">
        <v>71139</v>
      </c>
      <c r="S437" s="3">
        <v>637</v>
      </c>
      <c r="T437" s="3" t="s">
        <v>38</v>
      </c>
      <c r="U437" s="3">
        <v>0</v>
      </c>
      <c r="V437" s="3">
        <v>1364</v>
      </c>
      <c r="W437" s="5" t="str">
        <f t="shared" si="24"/>
        <v>600-649</v>
      </c>
      <c r="X437" s="5" t="str">
        <f t="shared" si="25"/>
        <v>Low (&lt;=35%)</v>
      </c>
      <c r="Y437" s="5" t="str">
        <f t="shared" si="26"/>
        <v>Employed</v>
      </c>
      <c r="Z437" s="3" t="str">
        <f t="shared" si="27"/>
        <v>Debt &amp; Assets</v>
      </c>
    </row>
    <row r="438" spans="1:26" ht="17.399999999999999" x14ac:dyDescent="0.35">
      <c r="A438" s="3" t="s">
        <v>878</v>
      </c>
      <c r="B438" s="3" t="s">
        <v>879</v>
      </c>
      <c r="C438" s="4">
        <v>45506</v>
      </c>
      <c r="D438" s="3" t="s">
        <v>35</v>
      </c>
      <c r="E438" s="3">
        <v>49800</v>
      </c>
      <c r="F438" s="3">
        <v>60</v>
      </c>
      <c r="G438" s="3">
        <v>8.52</v>
      </c>
      <c r="H438" s="3">
        <v>1022.2</v>
      </c>
      <c r="I438" s="3">
        <v>52.7</v>
      </c>
      <c r="J438" s="3" t="s">
        <v>48</v>
      </c>
      <c r="K438" s="3">
        <v>0</v>
      </c>
      <c r="L438" s="3">
        <v>0</v>
      </c>
      <c r="M438" s="3">
        <v>34</v>
      </c>
      <c r="N438" s="3" t="s">
        <v>96</v>
      </c>
      <c r="O438" s="3" t="s">
        <v>79</v>
      </c>
      <c r="P438" s="3" t="s">
        <v>44</v>
      </c>
      <c r="Q438" s="3">
        <v>14</v>
      </c>
      <c r="R438" s="3">
        <v>52736</v>
      </c>
      <c r="S438" s="3">
        <v>850</v>
      </c>
      <c r="T438" s="3" t="s">
        <v>38</v>
      </c>
      <c r="U438" s="3">
        <v>0</v>
      </c>
      <c r="V438" s="3">
        <v>1293</v>
      </c>
      <c r="W438" s="5" t="str">
        <f t="shared" si="24"/>
        <v>750+</v>
      </c>
      <c r="X438" s="5" t="str">
        <f t="shared" si="25"/>
        <v>High (51-75%)</v>
      </c>
      <c r="Y438" s="5" t="str">
        <f t="shared" si="26"/>
        <v>Employed</v>
      </c>
      <c r="Z438" s="3" t="str">
        <f t="shared" si="27"/>
        <v>Consumer &amp; Personal</v>
      </c>
    </row>
    <row r="439" spans="1:26" ht="17.399999999999999" x14ac:dyDescent="0.35">
      <c r="A439" s="3" t="s">
        <v>880</v>
      </c>
      <c r="B439" s="3" t="s">
        <v>881</v>
      </c>
      <c r="C439" s="4">
        <v>45513</v>
      </c>
      <c r="D439" s="3" t="s">
        <v>56</v>
      </c>
      <c r="E439" s="3">
        <v>24000</v>
      </c>
      <c r="F439" s="3">
        <v>24</v>
      </c>
      <c r="G439" s="3">
        <v>11.19</v>
      </c>
      <c r="H439" s="3">
        <v>1120.71</v>
      </c>
      <c r="I439" s="3">
        <v>77.8</v>
      </c>
      <c r="J439" s="3" t="s">
        <v>25</v>
      </c>
      <c r="K439" s="3">
        <v>0</v>
      </c>
      <c r="L439" s="3">
        <v>0</v>
      </c>
      <c r="M439" s="3">
        <v>50</v>
      </c>
      <c r="N439" s="3" t="s">
        <v>26</v>
      </c>
      <c r="O439" s="3" t="s">
        <v>27</v>
      </c>
      <c r="P439" s="3" t="s">
        <v>44</v>
      </c>
      <c r="Q439" s="3">
        <v>11</v>
      </c>
      <c r="R439" s="3">
        <v>43058</v>
      </c>
      <c r="S439" s="3">
        <v>709</v>
      </c>
      <c r="T439" s="3" t="s">
        <v>38</v>
      </c>
      <c r="U439" s="3">
        <v>0</v>
      </c>
      <c r="V439" s="3">
        <v>1670</v>
      </c>
      <c r="W439" s="5" t="str">
        <f t="shared" si="24"/>
        <v>700-749</v>
      </c>
      <c r="X439" s="5" t="str">
        <f t="shared" si="25"/>
        <v>Critical (&gt;75%)</v>
      </c>
      <c r="Y439" s="5" t="str">
        <f t="shared" si="26"/>
        <v>Employed</v>
      </c>
      <c r="Z439" s="3" t="str">
        <f t="shared" si="27"/>
        <v>Consumer &amp; Personal</v>
      </c>
    </row>
    <row r="440" spans="1:26" ht="17.399999999999999" x14ac:dyDescent="0.35">
      <c r="A440" s="3" t="s">
        <v>882</v>
      </c>
      <c r="B440" s="3" t="s">
        <v>883</v>
      </c>
      <c r="C440" s="4">
        <v>45377</v>
      </c>
      <c r="D440" s="3" t="s">
        <v>35</v>
      </c>
      <c r="E440" s="3">
        <v>9800</v>
      </c>
      <c r="F440" s="3">
        <v>24</v>
      </c>
      <c r="G440" s="3">
        <v>8.3800000000000008</v>
      </c>
      <c r="H440" s="3">
        <v>444.93</v>
      </c>
      <c r="I440" s="3">
        <v>29.8</v>
      </c>
      <c r="J440" s="3" t="s">
        <v>25</v>
      </c>
      <c r="K440" s="3">
        <v>0</v>
      </c>
      <c r="L440" s="3">
        <v>0</v>
      </c>
      <c r="M440" s="3">
        <v>27</v>
      </c>
      <c r="N440" s="3" t="s">
        <v>36</v>
      </c>
      <c r="O440" s="3" t="s">
        <v>79</v>
      </c>
      <c r="P440" s="3" t="s">
        <v>37</v>
      </c>
      <c r="Q440" s="3">
        <v>3</v>
      </c>
      <c r="R440" s="3">
        <v>36926</v>
      </c>
      <c r="S440" s="3">
        <v>817</v>
      </c>
      <c r="T440" s="3" t="s">
        <v>29</v>
      </c>
      <c r="U440" s="3">
        <v>0</v>
      </c>
      <c r="V440" s="3">
        <v>471</v>
      </c>
      <c r="W440" s="5" t="str">
        <f t="shared" si="24"/>
        <v>750+</v>
      </c>
      <c r="X440" s="5" t="str">
        <f t="shared" si="25"/>
        <v>Low (&lt;=35%)</v>
      </c>
      <c r="Y440" s="5" t="str">
        <f t="shared" si="26"/>
        <v>Employed</v>
      </c>
      <c r="Z440" s="3" t="str">
        <f t="shared" si="27"/>
        <v>Consumer &amp; Personal</v>
      </c>
    </row>
    <row r="441" spans="1:26" ht="17.399999999999999" x14ac:dyDescent="0.35">
      <c r="A441" s="3" t="s">
        <v>884</v>
      </c>
      <c r="B441" s="3" t="s">
        <v>885</v>
      </c>
      <c r="C441" s="4">
        <v>45815</v>
      </c>
      <c r="D441" s="3" t="s">
        <v>64</v>
      </c>
      <c r="E441" s="3">
        <v>26000</v>
      </c>
      <c r="F441" s="3">
        <v>24</v>
      </c>
      <c r="G441" s="3">
        <v>14.51</v>
      </c>
      <c r="H441" s="3">
        <v>1254.6099999999999</v>
      </c>
      <c r="I441" s="3">
        <v>61.7</v>
      </c>
      <c r="J441" s="3" t="s">
        <v>48</v>
      </c>
      <c r="K441" s="3">
        <v>0</v>
      </c>
      <c r="L441" s="3">
        <v>0</v>
      </c>
      <c r="M441" s="3">
        <v>63</v>
      </c>
      <c r="N441" s="3" t="s">
        <v>36</v>
      </c>
      <c r="O441" s="3" t="s">
        <v>43</v>
      </c>
      <c r="P441" s="3" t="s">
        <v>37</v>
      </c>
      <c r="Q441" s="3">
        <v>30</v>
      </c>
      <c r="R441" s="3">
        <v>90383</v>
      </c>
      <c r="S441" s="3">
        <v>544</v>
      </c>
      <c r="T441" s="3" t="s">
        <v>29</v>
      </c>
      <c r="U441" s="3">
        <v>0</v>
      </c>
      <c r="V441" s="3">
        <v>3392</v>
      </c>
      <c r="W441" s="5" t="str">
        <f t="shared" si="24"/>
        <v>520-599</v>
      </c>
      <c r="X441" s="5" t="str">
        <f t="shared" si="25"/>
        <v>High (51-75%)</v>
      </c>
      <c r="Y441" s="5" t="str">
        <f t="shared" si="26"/>
        <v>Employed</v>
      </c>
      <c r="Z441" s="3" t="str">
        <f t="shared" si="27"/>
        <v>Investment &amp; Growth</v>
      </c>
    </row>
    <row r="442" spans="1:26" ht="17.399999999999999" x14ac:dyDescent="0.35">
      <c r="A442" s="3" t="s">
        <v>886</v>
      </c>
      <c r="B442" s="3" t="s">
        <v>887</v>
      </c>
      <c r="C442" s="4">
        <v>45419</v>
      </c>
      <c r="D442" s="3" t="s">
        <v>31</v>
      </c>
      <c r="E442" s="3">
        <v>31700</v>
      </c>
      <c r="F442" s="3">
        <v>24</v>
      </c>
      <c r="G442" s="3">
        <v>6.22</v>
      </c>
      <c r="H442" s="3">
        <v>1408.11</v>
      </c>
      <c r="I442" s="3">
        <v>66.8</v>
      </c>
      <c r="J442" s="3" t="s">
        <v>48</v>
      </c>
      <c r="K442" s="3">
        <v>0</v>
      </c>
      <c r="L442" s="3">
        <v>0</v>
      </c>
      <c r="M442" s="3">
        <v>36</v>
      </c>
      <c r="N442" s="3" t="s">
        <v>78</v>
      </c>
      <c r="O442" s="3" t="s">
        <v>79</v>
      </c>
      <c r="P442" s="3" t="s">
        <v>44</v>
      </c>
      <c r="Q442" s="3">
        <v>8</v>
      </c>
      <c r="R442" s="3">
        <v>43512</v>
      </c>
      <c r="S442" s="3">
        <v>850</v>
      </c>
      <c r="T442" s="3" t="s">
        <v>45</v>
      </c>
      <c r="U442" s="3">
        <v>3</v>
      </c>
      <c r="V442" s="3">
        <v>1013</v>
      </c>
      <c r="W442" s="5" t="str">
        <f t="shared" si="24"/>
        <v>750+</v>
      </c>
      <c r="X442" s="5" t="str">
        <f t="shared" si="25"/>
        <v>High (51-75%)</v>
      </c>
      <c r="Y442" s="5" t="str">
        <f t="shared" si="26"/>
        <v>Employed</v>
      </c>
      <c r="Z442" s="3" t="str">
        <f t="shared" si="27"/>
        <v>Debt &amp; Assets</v>
      </c>
    </row>
    <row r="443" spans="1:26" ht="17.399999999999999" x14ac:dyDescent="0.35">
      <c r="A443" s="3" t="s">
        <v>888</v>
      </c>
      <c r="B443" s="3" t="s">
        <v>887</v>
      </c>
      <c r="C443" s="4">
        <v>45441</v>
      </c>
      <c r="D443" s="3" t="s">
        <v>52</v>
      </c>
      <c r="E443" s="3">
        <v>18100</v>
      </c>
      <c r="F443" s="3">
        <v>36</v>
      </c>
      <c r="G443" s="3">
        <v>9.7200000000000006</v>
      </c>
      <c r="H443" s="3">
        <v>581.66</v>
      </c>
      <c r="I443" s="3">
        <v>44</v>
      </c>
      <c r="J443" s="3" t="s">
        <v>48</v>
      </c>
      <c r="K443" s="3">
        <v>0</v>
      </c>
      <c r="L443" s="3">
        <v>0</v>
      </c>
      <c r="M443" s="3">
        <v>36</v>
      </c>
      <c r="N443" s="3" t="s">
        <v>78</v>
      </c>
      <c r="O443" s="3" t="s">
        <v>79</v>
      </c>
      <c r="P443" s="3" t="s">
        <v>44</v>
      </c>
      <c r="Q443" s="3">
        <v>8</v>
      </c>
      <c r="R443" s="3">
        <v>43512</v>
      </c>
      <c r="S443" s="3">
        <v>850</v>
      </c>
      <c r="T443" s="3" t="s">
        <v>45</v>
      </c>
      <c r="U443" s="3">
        <v>3</v>
      </c>
      <c r="V443" s="3">
        <v>1013</v>
      </c>
      <c r="W443" s="5" t="str">
        <f t="shared" si="24"/>
        <v>750+</v>
      </c>
      <c r="X443" s="5" t="str">
        <f t="shared" si="25"/>
        <v>Manageable (36-50%)</v>
      </c>
      <c r="Y443" s="5" t="str">
        <f t="shared" si="26"/>
        <v>Employed</v>
      </c>
      <c r="Z443" s="3" t="str">
        <f t="shared" si="27"/>
        <v>Investment &amp; Growth</v>
      </c>
    </row>
    <row r="444" spans="1:26" ht="17.399999999999999" x14ac:dyDescent="0.35">
      <c r="A444" s="3" t="s">
        <v>889</v>
      </c>
      <c r="B444" s="3" t="s">
        <v>890</v>
      </c>
      <c r="C444" s="4">
        <v>45605</v>
      </c>
      <c r="D444" s="3" t="s">
        <v>64</v>
      </c>
      <c r="E444" s="3">
        <v>7000</v>
      </c>
      <c r="F444" s="3">
        <v>12</v>
      </c>
      <c r="G444" s="3">
        <v>8.5</v>
      </c>
      <c r="H444" s="3">
        <v>610.54</v>
      </c>
      <c r="I444" s="3">
        <v>54.8</v>
      </c>
      <c r="J444" s="3" t="s">
        <v>48</v>
      </c>
      <c r="K444" s="3">
        <v>0</v>
      </c>
      <c r="L444" s="3">
        <v>0</v>
      </c>
      <c r="M444" s="3">
        <v>35</v>
      </c>
      <c r="N444" s="3" t="s">
        <v>135</v>
      </c>
      <c r="O444" s="3" t="s">
        <v>43</v>
      </c>
      <c r="P444" s="3" t="s">
        <v>28</v>
      </c>
      <c r="Q444" s="3">
        <v>3</v>
      </c>
      <c r="R444" s="3">
        <v>93191</v>
      </c>
      <c r="S444" s="3">
        <v>743</v>
      </c>
      <c r="T444" s="3" t="s">
        <v>38</v>
      </c>
      <c r="U444" s="3">
        <v>4</v>
      </c>
      <c r="V444" s="3">
        <v>3647</v>
      </c>
      <c r="W444" s="5" t="str">
        <f t="shared" si="24"/>
        <v>700-749</v>
      </c>
      <c r="X444" s="5" t="str">
        <f t="shared" si="25"/>
        <v>High (51-75%)</v>
      </c>
      <c r="Y444" s="5" t="str">
        <f t="shared" si="26"/>
        <v>Self-Employed</v>
      </c>
      <c r="Z444" s="3" t="str">
        <f t="shared" si="27"/>
        <v>Investment &amp; Growth</v>
      </c>
    </row>
    <row r="445" spans="1:26" ht="17.399999999999999" x14ac:dyDescent="0.35">
      <c r="A445" s="3" t="s">
        <v>891</v>
      </c>
      <c r="B445" s="3" t="s">
        <v>892</v>
      </c>
      <c r="C445" s="4">
        <v>45341</v>
      </c>
      <c r="D445" s="3" t="s">
        <v>77</v>
      </c>
      <c r="E445" s="3">
        <v>25100</v>
      </c>
      <c r="F445" s="3">
        <v>60</v>
      </c>
      <c r="G445" s="3">
        <v>10.83</v>
      </c>
      <c r="H445" s="3">
        <v>543.61</v>
      </c>
      <c r="I445" s="3">
        <v>68</v>
      </c>
      <c r="J445" s="3" t="s">
        <v>32</v>
      </c>
      <c r="K445" s="3">
        <v>129</v>
      </c>
      <c r="L445" s="3">
        <v>1</v>
      </c>
      <c r="M445" s="3">
        <v>57</v>
      </c>
      <c r="N445" s="3" t="s">
        <v>42</v>
      </c>
      <c r="O445" s="3" t="s">
        <v>43</v>
      </c>
      <c r="P445" s="3" t="s">
        <v>73</v>
      </c>
      <c r="Q445" s="3">
        <v>30</v>
      </c>
      <c r="R445" s="3">
        <v>32803</v>
      </c>
      <c r="S445" s="3">
        <v>580</v>
      </c>
      <c r="T445" s="3" t="s">
        <v>38</v>
      </c>
      <c r="U445" s="3">
        <v>2</v>
      </c>
      <c r="V445" s="3">
        <v>1314</v>
      </c>
      <c r="W445" s="5" t="str">
        <f t="shared" si="24"/>
        <v>520-599</v>
      </c>
      <c r="X445" s="5" t="str">
        <f t="shared" si="25"/>
        <v>High (51-75%)</v>
      </c>
      <c r="Y445" s="5" t="str">
        <f t="shared" si="26"/>
        <v>Employed</v>
      </c>
      <c r="Z445" s="3" t="str">
        <f t="shared" si="27"/>
        <v>Consumer &amp; Personal</v>
      </c>
    </row>
    <row r="446" spans="1:26" ht="17.399999999999999" x14ac:dyDescent="0.35">
      <c r="A446" s="3" t="s">
        <v>893</v>
      </c>
      <c r="B446" s="3" t="s">
        <v>894</v>
      </c>
      <c r="C446" s="4">
        <v>45422</v>
      </c>
      <c r="D446" s="3" t="s">
        <v>35</v>
      </c>
      <c r="E446" s="3">
        <v>42100</v>
      </c>
      <c r="F446" s="3">
        <v>48</v>
      </c>
      <c r="G446" s="3">
        <v>11.95</v>
      </c>
      <c r="H446" s="3">
        <v>1107.6199999999999</v>
      </c>
      <c r="I446" s="3">
        <v>72.2</v>
      </c>
      <c r="J446" s="3" t="s">
        <v>32</v>
      </c>
      <c r="K446" s="3">
        <v>161</v>
      </c>
      <c r="L446" s="3">
        <v>1</v>
      </c>
      <c r="M446" s="3">
        <v>38</v>
      </c>
      <c r="N446" s="3" t="s">
        <v>62</v>
      </c>
      <c r="O446" s="3" t="s">
        <v>43</v>
      </c>
      <c r="P446" s="3" t="s">
        <v>85</v>
      </c>
      <c r="Q446" s="3">
        <v>4</v>
      </c>
      <c r="R446" s="3">
        <v>49297</v>
      </c>
      <c r="S446" s="3">
        <v>626</v>
      </c>
      <c r="T446" s="3" t="s">
        <v>45</v>
      </c>
      <c r="U446" s="3">
        <v>3</v>
      </c>
      <c r="V446" s="3">
        <v>1859</v>
      </c>
      <c r="W446" s="5" t="str">
        <f t="shared" si="24"/>
        <v>600-649</v>
      </c>
      <c r="X446" s="5" t="str">
        <f t="shared" si="25"/>
        <v>High (51-75%)</v>
      </c>
      <c r="Y446" s="5" t="str">
        <f t="shared" si="26"/>
        <v>Retired</v>
      </c>
      <c r="Z446" s="3" t="str">
        <f t="shared" si="27"/>
        <v>Consumer &amp; Personal</v>
      </c>
    </row>
    <row r="447" spans="1:26" ht="17.399999999999999" x14ac:dyDescent="0.35">
      <c r="A447" s="3" t="s">
        <v>895</v>
      </c>
      <c r="B447" s="3" t="s">
        <v>896</v>
      </c>
      <c r="C447" s="4">
        <v>45671</v>
      </c>
      <c r="D447" s="3" t="s">
        <v>56</v>
      </c>
      <c r="E447" s="3">
        <v>14100</v>
      </c>
      <c r="F447" s="3">
        <v>36</v>
      </c>
      <c r="G447" s="3">
        <v>11.21</v>
      </c>
      <c r="H447" s="3">
        <v>463.02</v>
      </c>
      <c r="I447" s="3">
        <v>36.4</v>
      </c>
      <c r="J447" s="3" t="s">
        <v>99</v>
      </c>
      <c r="K447" s="3">
        <v>0</v>
      </c>
      <c r="L447" s="3">
        <v>0</v>
      </c>
      <c r="M447" s="3">
        <v>60</v>
      </c>
      <c r="N447" s="3" t="s">
        <v>42</v>
      </c>
      <c r="O447" s="3" t="s">
        <v>43</v>
      </c>
      <c r="P447" s="3" t="s">
        <v>37</v>
      </c>
      <c r="Q447" s="3">
        <v>31</v>
      </c>
      <c r="R447" s="3">
        <v>49527</v>
      </c>
      <c r="S447" s="3">
        <v>543</v>
      </c>
      <c r="T447" s="3" t="s">
        <v>29</v>
      </c>
      <c r="U447" s="3">
        <v>3</v>
      </c>
      <c r="V447" s="3">
        <v>1041</v>
      </c>
      <c r="W447" s="5" t="str">
        <f t="shared" si="24"/>
        <v>520-599</v>
      </c>
      <c r="X447" s="5" t="str">
        <f t="shared" si="25"/>
        <v>Manageable (36-50%)</v>
      </c>
      <c r="Y447" s="5" t="str">
        <f t="shared" si="26"/>
        <v>Employed</v>
      </c>
      <c r="Z447" s="3" t="str">
        <f t="shared" si="27"/>
        <v>Consumer &amp; Personal</v>
      </c>
    </row>
    <row r="448" spans="1:26" ht="17.399999999999999" x14ac:dyDescent="0.35">
      <c r="A448" s="3" t="s">
        <v>897</v>
      </c>
      <c r="B448" s="3" t="s">
        <v>898</v>
      </c>
      <c r="C448" s="4">
        <v>45574</v>
      </c>
      <c r="D448" s="3" t="s">
        <v>56</v>
      </c>
      <c r="E448" s="3">
        <v>17600</v>
      </c>
      <c r="F448" s="3">
        <v>48</v>
      </c>
      <c r="G448" s="3">
        <v>10.76</v>
      </c>
      <c r="H448" s="3">
        <v>452.83</v>
      </c>
      <c r="I448" s="3">
        <v>60.1</v>
      </c>
      <c r="J448" s="3" t="s">
        <v>25</v>
      </c>
      <c r="K448" s="3">
        <v>0</v>
      </c>
      <c r="L448" s="3">
        <v>0</v>
      </c>
      <c r="M448" s="3">
        <v>24</v>
      </c>
      <c r="N448" s="3" t="s">
        <v>36</v>
      </c>
      <c r="O448" s="3" t="s">
        <v>43</v>
      </c>
      <c r="P448" s="3" t="s">
        <v>85</v>
      </c>
      <c r="Q448" s="3">
        <v>1</v>
      </c>
      <c r="R448" s="3">
        <v>55596</v>
      </c>
      <c r="S448" s="3">
        <v>705</v>
      </c>
      <c r="T448" s="3" t="s">
        <v>29</v>
      </c>
      <c r="U448" s="3">
        <v>2</v>
      </c>
      <c r="V448" s="3">
        <v>2331</v>
      </c>
      <c r="W448" s="5" t="str">
        <f t="shared" si="24"/>
        <v>700-749</v>
      </c>
      <c r="X448" s="5" t="str">
        <f t="shared" si="25"/>
        <v>High (51-75%)</v>
      </c>
      <c r="Y448" s="5" t="str">
        <f t="shared" si="26"/>
        <v>Retired</v>
      </c>
      <c r="Z448" s="3" t="str">
        <f t="shared" si="27"/>
        <v>Consumer &amp; Personal</v>
      </c>
    </row>
    <row r="449" spans="1:26" ht="17.399999999999999" x14ac:dyDescent="0.35">
      <c r="A449" s="3" t="s">
        <v>899</v>
      </c>
      <c r="B449" s="3" t="s">
        <v>900</v>
      </c>
      <c r="C449" s="4">
        <v>45612</v>
      </c>
      <c r="D449" s="3" t="s">
        <v>64</v>
      </c>
      <c r="E449" s="3">
        <v>29700</v>
      </c>
      <c r="F449" s="3">
        <v>36</v>
      </c>
      <c r="G449" s="3">
        <v>8.4499999999999993</v>
      </c>
      <c r="H449" s="3">
        <v>936.87</v>
      </c>
      <c r="I449" s="3">
        <v>39.799999999999997</v>
      </c>
      <c r="J449" s="3" t="s">
        <v>48</v>
      </c>
      <c r="K449" s="3">
        <v>0</v>
      </c>
      <c r="L449" s="3">
        <v>0</v>
      </c>
      <c r="M449" s="3">
        <v>64</v>
      </c>
      <c r="N449" s="3" t="s">
        <v>123</v>
      </c>
      <c r="O449" s="3" t="s">
        <v>43</v>
      </c>
      <c r="P449" s="3" t="s">
        <v>37</v>
      </c>
      <c r="Q449" s="3">
        <v>11</v>
      </c>
      <c r="R449" s="3">
        <v>51445</v>
      </c>
      <c r="S449" s="3">
        <v>815</v>
      </c>
      <c r="T449" s="3" t="s">
        <v>45</v>
      </c>
      <c r="U449" s="3">
        <v>0</v>
      </c>
      <c r="V449" s="3">
        <v>768</v>
      </c>
      <c r="W449" s="5" t="str">
        <f t="shared" si="24"/>
        <v>750+</v>
      </c>
      <c r="X449" s="5" t="str">
        <f t="shared" si="25"/>
        <v>Manageable (36-50%)</v>
      </c>
      <c r="Y449" s="5" t="str">
        <f t="shared" si="26"/>
        <v>Employed</v>
      </c>
      <c r="Z449" s="3" t="str">
        <f t="shared" si="27"/>
        <v>Investment &amp; Growth</v>
      </c>
    </row>
    <row r="450" spans="1:26" ht="17.399999999999999" x14ac:dyDescent="0.35">
      <c r="A450" s="3" t="s">
        <v>901</v>
      </c>
      <c r="B450" s="3" t="s">
        <v>900</v>
      </c>
      <c r="C450" s="4">
        <v>45584</v>
      </c>
      <c r="D450" s="3" t="s">
        <v>64</v>
      </c>
      <c r="E450" s="3">
        <v>9900</v>
      </c>
      <c r="F450" s="3">
        <v>12</v>
      </c>
      <c r="G450" s="3">
        <v>6.84</v>
      </c>
      <c r="H450" s="3">
        <v>855.88</v>
      </c>
      <c r="I450" s="3">
        <v>37.9</v>
      </c>
      <c r="J450" s="3" t="s">
        <v>25</v>
      </c>
      <c r="K450" s="3">
        <v>0</v>
      </c>
      <c r="L450" s="3">
        <v>0</v>
      </c>
      <c r="M450" s="3">
        <v>64</v>
      </c>
      <c r="N450" s="3" t="s">
        <v>123</v>
      </c>
      <c r="O450" s="3" t="s">
        <v>43</v>
      </c>
      <c r="P450" s="3" t="s">
        <v>37</v>
      </c>
      <c r="Q450" s="3">
        <v>11</v>
      </c>
      <c r="R450" s="3">
        <v>51445</v>
      </c>
      <c r="S450" s="3">
        <v>815</v>
      </c>
      <c r="T450" s="3" t="s">
        <v>45</v>
      </c>
      <c r="U450" s="3">
        <v>0</v>
      </c>
      <c r="V450" s="3">
        <v>768</v>
      </c>
      <c r="W450" s="5" t="str">
        <f t="shared" ref="W450:W513" si="28">IF(S450&lt;=599, "520-599", IF(S450&lt;=649, "600-649", IF(S450&lt;=699, "650-699", IF(S450&lt;=749, "700-749", "750+"))))</f>
        <v>750+</v>
      </c>
      <c r="X450" s="5" t="str">
        <f t="shared" ref="X450:X513" si="29">IF(I450&lt;=35, "Low (&lt;=35%)", IF(I450&lt;=50, "Manageable (36-50%)", IF(I450&lt;=75, "High (51-75%)", "Critical (&gt;75%)")))</f>
        <v>Manageable (36-50%)</v>
      </c>
      <c r="Y450" s="5" t="str">
        <f t="shared" ref="Y450:Y513" si="30">IF(OR(P450="Full-Time", P450="Part-Time", P450="Contract"), "Employed", IF(P450="Self-Employed", "Self-Employed", IF(P450="Retired", "Retired", "Other")))</f>
        <v>Employed</v>
      </c>
      <c r="Z450" s="3" t="str">
        <f t="shared" ref="Z450:Z513" si="31">IF(OR(D450="Vacation", D450="Medical Expenses", D450="Wedding", D450="Moving"), "Consumer &amp; Personal", IF(OR(D450="Debt Consolidation", D450="Major Purchase", D450="Auto Loan"), "Debt &amp; Assets", IF(OR(D450="Home Improvement", D450="Business Loan", D450="Education"), "Investment &amp; Growth", "Other")))</f>
        <v>Investment &amp; Growth</v>
      </c>
    </row>
    <row r="451" spans="1:26" ht="17.399999999999999" x14ac:dyDescent="0.35">
      <c r="A451" s="3" t="s">
        <v>902</v>
      </c>
      <c r="B451" s="3" t="s">
        <v>903</v>
      </c>
      <c r="C451" s="4">
        <v>45819</v>
      </c>
      <c r="D451" s="3" t="s">
        <v>31</v>
      </c>
      <c r="E451" s="3">
        <v>46800</v>
      </c>
      <c r="F451" s="3">
        <v>24</v>
      </c>
      <c r="G451" s="3">
        <v>10.46</v>
      </c>
      <c r="H451" s="3">
        <v>2169.5300000000002</v>
      </c>
      <c r="I451" s="3">
        <v>43.4</v>
      </c>
      <c r="J451" s="3" t="s">
        <v>48</v>
      </c>
      <c r="K451" s="3">
        <v>0</v>
      </c>
      <c r="L451" s="3">
        <v>0</v>
      </c>
      <c r="M451" s="3">
        <v>57</v>
      </c>
      <c r="N451" s="3" t="s">
        <v>62</v>
      </c>
      <c r="O451" s="3" t="s">
        <v>72</v>
      </c>
      <c r="P451" s="3" t="s">
        <v>37</v>
      </c>
      <c r="Q451" s="3">
        <v>5</v>
      </c>
      <c r="R451" s="3">
        <v>112919</v>
      </c>
      <c r="S451" s="3">
        <v>716</v>
      </c>
      <c r="T451" s="3" t="s">
        <v>38</v>
      </c>
      <c r="U451" s="3">
        <v>2</v>
      </c>
      <c r="V451" s="3">
        <v>1915</v>
      </c>
      <c r="W451" s="5" t="str">
        <f t="shared" si="28"/>
        <v>700-749</v>
      </c>
      <c r="X451" s="5" t="str">
        <f t="shared" si="29"/>
        <v>Manageable (36-50%)</v>
      </c>
      <c r="Y451" s="5" t="str">
        <f t="shared" si="30"/>
        <v>Employed</v>
      </c>
      <c r="Z451" s="3" t="str">
        <f t="shared" si="31"/>
        <v>Debt &amp; Assets</v>
      </c>
    </row>
    <row r="452" spans="1:26" ht="17.399999999999999" x14ac:dyDescent="0.35">
      <c r="A452" s="3" t="s">
        <v>904</v>
      </c>
      <c r="B452" s="3" t="s">
        <v>903</v>
      </c>
      <c r="C452" s="4">
        <v>45645</v>
      </c>
      <c r="D452" s="3" t="s">
        <v>61</v>
      </c>
      <c r="E452" s="3">
        <v>31600</v>
      </c>
      <c r="F452" s="3">
        <v>12</v>
      </c>
      <c r="G452" s="3">
        <v>11.64</v>
      </c>
      <c r="H452" s="3">
        <v>2802.3</v>
      </c>
      <c r="I452" s="3">
        <v>50.1</v>
      </c>
      <c r="J452" s="3" t="s">
        <v>25</v>
      </c>
      <c r="K452" s="3">
        <v>0</v>
      </c>
      <c r="L452" s="3">
        <v>0</v>
      </c>
      <c r="M452" s="3">
        <v>57</v>
      </c>
      <c r="N452" s="3" t="s">
        <v>62</v>
      </c>
      <c r="O452" s="3" t="s">
        <v>72</v>
      </c>
      <c r="P452" s="3" t="s">
        <v>37</v>
      </c>
      <c r="Q452" s="3">
        <v>5</v>
      </c>
      <c r="R452" s="3">
        <v>112919</v>
      </c>
      <c r="S452" s="3">
        <v>716</v>
      </c>
      <c r="T452" s="3" t="s">
        <v>38</v>
      </c>
      <c r="U452" s="3">
        <v>2</v>
      </c>
      <c r="V452" s="3">
        <v>1915</v>
      </c>
      <c r="W452" s="5" t="str">
        <f t="shared" si="28"/>
        <v>700-749</v>
      </c>
      <c r="X452" s="5" t="str">
        <f t="shared" si="29"/>
        <v>High (51-75%)</v>
      </c>
      <c r="Y452" s="5" t="str">
        <f t="shared" si="30"/>
        <v>Employed</v>
      </c>
      <c r="Z452" s="3" t="str">
        <f t="shared" si="31"/>
        <v>Investment &amp; Growth</v>
      </c>
    </row>
    <row r="453" spans="1:26" ht="17.399999999999999" x14ac:dyDescent="0.35">
      <c r="A453" s="3" t="s">
        <v>905</v>
      </c>
      <c r="B453" s="3" t="s">
        <v>906</v>
      </c>
      <c r="C453" s="4">
        <v>45828</v>
      </c>
      <c r="D453" s="3" t="s">
        <v>35</v>
      </c>
      <c r="E453" s="3">
        <v>3700</v>
      </c>
      <c r="F453" s="3">
        <v>48</v>
      </c>
      <c r="G453" s="3">
        <v>15.07</v>
      </c>
      <c r="H453" s="3">
        <v>103.11</v>
      </c>
      <c r="I453" s="3">
        <v>55.4</v>
      </c>
      <c r="J453" s="3" t="s">
        <v>48</v>
      </c>
      <c r="K453" s="3">
        <v>0</v>
      </c>
      <c r="L453" s="3">
        <v>0</v>
      </c>
      <c r="M453" s="3">
        <v>43</v>
      </c>
      <c r="N453" s="3" t="s">
        <v>36</v>
      </c>
      <c r="O453" s="3" t="s">
        <v>43</v>
      </c>
      <c r="P453" s="3" t="s">
        <v>73</v>
      </c>
      <c r="Q453" s="3">
        <v>15</v>
      </c>
      <c r="R453" s="3">
        <v>38602</v>
      </c>
      <c r="S453" s="3">
        <v>585</v>
      </c>
      <c r="T453" s="3" t="s">
        <v>38</v>
      </c>
      <c r="U453" s="3">
        <v>2</v>
      </c>
      <c r="V453" s="3">
        <v>1679</v>
      </c>
      <c r="W453" s="5" t="str">
        <f t="shared" si="28"/>
        <v>520-599</v>
      </c>
      <c r="X453" s="5" t="str">
        <f t="shared" si="29"/>
        <v>High (51-75%)</v>
      </c>
      <c r="Y453" s="5" t="str">
        <f t="shared" si="30"/>
        <v>Employed</v>
      </c>
      <c r="Z453" s="3" t="str">
        <f t="shared" si="31"/>
        <v>Consumer &amp; Personal</v>
      </c>
    </row>
    <row r="454" spans="1:26" ht="17.399999999999999" x14ac:dyDescent="0.35">
      <c r="A454" s="3" t="s">
        <v>907</v>
      </c>
      <c r="B454" s="3" t="s">
        <v>906</v>
      </c>
      <c r="C454" s="4">
        <v>45466</v>
      </c>
      <c r="D454" s="3" t="s">
        <v>56</v>
      </c>
      <c r="E454" s="3">
        <v>33800</v>
      </c>
      <c r="F454" s="3">
        <v>48</v>
      </c>
      <c r="G454" s="3">
        <v>12.73</v>
      </c>
      <c r="H454" s="3">
        <v>902.25</v>
      </c>
      <c r="I454" s="3">
        <v>80.2</v>
      </c>
      <c r="J454" s="3" t="s">
        <v>32</v>
      </c>
      <c r="K454" s="3">
        <v>58</v>
      </c>
      <c r="L454" s="3">
        <v>1</v>
      </c>
      <c r="M454" s="3">
        <v>43</v>
      </c>
      <c r="N454" s="3" t="s">
        <v>36</v>
      </c>
      <c r="O454" s="3" t="s">
        <v>43</v>
      </c>
      <c r="P454" s="3" t="s">
        <v>73</v>
      </c>
      <c r="Q454" s="3">
        <v>15</v>
      </c>
      <c r="R454" s="3">
        <v>38602</v>
      </c>
      <c r="S454" s="3">
        <v>585</v>
      </c>
      <c r="T454" s="3" t="s">
        <v>38</v>
      </c>
      <c r="U454" s="3">
        <v>2</v>
      </c>
      <c r="V454" s="3">
        <v>1679</v>
      </c>
      <c r="W454" s="5" t="str">
        <f t="shared" si="28"/>
        <v>520-599</v>
      </c>
      <c r="X454" s="5" t="str">
        <f t="shared" si="29"/>
        <v>Critical (&gt;75%)</v>
      </c>
      <c r="Y454" s="5" t="str">
        <f t="shared" si="30"/>
        <v>Employed</v>
      </c>
      <c r="Z454" s="3" t="str">
        <f t="shared" si="31"/>
        <v>Consumer &amp; Personal</v>
      </c>
    </row>
    <row r="455" spans="1:26" ht="17.399999999999999" x14ac:dyDescent="0.35">
      <c r="A455" s="3" t="s">
        <v>908</v>
      </c>
      <c r="B455" s="3" t="s">
        <v>909</v>
      </c>
      <c r="C455" s="4">
        <v>45786</v>
      </c>
      <c r="D455" s="3" t="s">
        <v>64</v>
      </c>
      <c r="E455" s="3">
        <v>42800</v>
      </c>
      <c r="F455" s="3">
        <v>12</v>
      </c>
      <c r="G455" s="3">
        <v>9.3699999999999992</v>
      </c>
      <c r="H455" s="3">
        <v>3750.27</v>
      </c>
      <c r="I455" s="3">
        <v>105.8</v>
      </c>
      <c r="J455" s="3" t="s">
        <v>25</v>
      </c>
      <c r="K455" s="3">
        <v>0</v>
      </c>
      <c r="L455" s="3">
        <v>0</v>
      </c>
      <c r="M455" s="3">
        <v>26</v>
      </c>
      <c r="N455" s="3" t="s">
        <v>49</v>
      </c>
      <c r="O455" s="3" t="s">
        <v>43</v>
      </c>
      <c r="P455" s="3" t="s">
        <v>37</v>
      </c>
      <c r="Q455" s="3">
        <v>4</v>
      </c>
      <c r="R455" s="3">
        <v>48244</v>
      </c>
      <c r="S455" s="3">
        <v>725</v>
      </c>
      <c r="T455" s="3" t="s">
        <v>45</v>
      </c>
      <c r="U455" s="3">
        <v>3</v>
      </c>
      <c r="V455" s="3">
        <v>504</v>
      </c>
      <c r="W455" s="5" t="str">
        <f t="shared" si="28"/>
        <v>700-749</v>
      </c>
      <c r="X455" s="5" t="str">
        <f t="shared" si="29"/>
        <v>Critical (&gt;75%)</v>
      </c>
      <c r="Y455" s="5" t="str">
        <f t="shared" si="30"/>
        <v>Employed</v>
      </c>
      <c r="Z455" s="3" t="str">
        <f t="shared" si="31"/>
        <v>Investment &amp; Growth</v>
      </c>
    </row>
    <row r="456" spans="1:26" ht="17.399999999999999" x14ac:dyDescent="0.35">
      <c r="A456" s="3" t="s">
        <v>910</v>
      </c>
      <c r="B456" s="3" t="s">
        <v>911</v>
      </c>
      <c r="C456" s="4">
        <v>45328</v>
      </c>
      <c r="D456" s="3" t="s">
        <v>64</v>
      </c>
      <c r="E456" s="3">
        <v>46600</v>
      </c>
      <c r="F456" s="3">
        <v>60</v>
      </c>
      <c r="G456" s="3">
        <v>11.4</v>
      </c>
      <c r="H456" s="3">
        <v>1022.52</v>
      </c>
      <c r="I456" s="3">
        <v>38</v>
      </c>
      <c r="J456" s="3" t="s">
        <v>99</v>
      </c>
      <c r="K456" s="3">
        <v>15</v>
      </c>
      <c r="L456" s="3">
        <v>0</v>
      </c>
      <c r="M456" s="3">
        <v>34</v>
      </c>
      <c r="N456" s="3" t="s">
        <v>172</v>
      </c>
      <c r="O456" s="3" t="s">
        <v>79</v>
      </c>
      <c r="P456" s="3" t="s">
        <v>85</v>
      </c>
      <c r="Q456" s="3">
        <v>2</v>
      </c>
      <c r="R456" s="3">
        <v>42389</v>
      </c>
      <c r="S456" s="3">
        <v>764</v>
      </c>
      <c r="T456" s="3" t="s">
        <v>45</v>
      </c>
      <c r="U456" s="3">
        <v>0</v>
      </c>
      <c r="V456" s="3">
        <v>319</v>
      </c>
      <c r="W456" s="5" t="str">
        <f t="shared" si="28"/>
        <v>750+</v>
      </c>
      <c r="X456" s="5" t="str">
        <f t="shared" si="29"/>
        <v>Manageable (36-50%)</v>
      </c>
      <c r="Y456" s="5" t="str">
        <f t="shared" si="30"/>
        <v>Retired</v>
      </c>
      <c r="Z456" s="3" t="str">
        <f t="shared" si="31"/>
        <v>Investment &amp; Growth</v>
      </c>
    </row>
    <row r="457" spans="1:26" ht="17.399999999999999" x14ac:dyDescent="0.35">
      <c r="A457" s="3" t="s">
        <v>912</v>
      </c>
      <c r="B457" s="3" t="s">
        <v>913</v>
      </c>
      <c r="C457" s="4">
        <v>45650</v>
      </c>
      <c r="D457" s="3" t="s">
        <v>67</v>
      </c>
      <c r="E457" s="3">
        <v>17800</v>
      </c>
      <c r="F457" s="3">
        <v>36</v>
      </c>
      <c r="G457" s="3">
        <v>11.5</v>
      </c>
      <c r="H457" s="3">
        <v>586.97</v>
      </c>
      <c r="I457" s="3">
        <v>42.5</v>
      </c>
      <c r="J457" s="3" t="s">
        <v>48</v>
      </c>
      <c r="K457" s="3">
        <v>0</v>
      </c>
      <c r="L457" s="3">
        <v>0</v>
      </c>
      <c r="M457" s="3">
        <v>43</v>
      </c>
      <c r="N457" s="3" t="s">
        <v>179</v>
      </c>
      <c r="O457" s="3" t="s">
        <v>43</v>
      </c>
      <c r="P457" s="3" t="s">
        <v>37</v>
      </c>
      <c r="Q457" s="3">
        <v>14</v>
      </c>
      <c r="R457" s="3">
        <v>81081</v>
      </c>
      <c r="S457" s="3">
        <v>542</v>
      </c>
      <c r="T457" s="3" t="s">
        <v>45</v>
      </c>
      <c r="U457" s="3">
        <v>2</v>
      </c>
      <c r="V457" s="3">
        <v>2284</v>
      </c>
      <c r="W457" s="5" t="str">
        <f t="shared" si="28"/>
        <v>520-599</v>
      </c>
      <c r="X457" s="5" t="str">
        <f t="shared" si="29"/>
        <v>Manageable (36-50%)</v>
      </c>
      <c r="Y457" s="5" t="str">
        <f t="shared" si="30"/>
        <v>Employed</v>
      </c>
      <c r="Z457" s="3" t="str">
        <f t="shared" si="31"/>
        <v>Debt &amp; Assets</v>
      </c>
    </row>
    <row r="458" spans="1:26" ht="17.399999999999999" x14ac:dyDescent="0.35">
      <c r="A458" s="3" t="s">
        <v>914</v>
      </c>
      <c r="B458" s="3" t="s">
        <v>915</v>
      </c>
      <c r="C458" s="4">
        <v>45791</v>
      </c>
      <c r="D458" s="3" t="s">
        <v>24</v>
      </c>
      <c r="E458" s="3">
        <v>14100</v>
      </c>
      <c r="F458" s="3">
        <v>24</v>
      </c>
      <c r="G458" s="3">
        <v>7.99</v>
      </c>
      <c r="H458" s="3">
        <v>637.64</v>
      </c>
      <c r="I458" s="3">
        <v>45.4</v>
      </c>
      <c r="J458" s="3" t="s">
        <v>32</v>
      </c>
      <c r="K458" s="3">
        <v>94</v>
      </c>
      <c r="L458" s="3">
        <v>1</v>
      </c>
      <c r="M458" s="3">
        <v>32</v>
      </c>
      <c r="N458" s="3" t="s">
        <v>78</v>
      </c>
      <c r="O458" s="3" t="s">
        <v>43</v>
      </c>
      <c r="P458" s="3" t="s">
        <v>28</v>
      </c>
      <c r="Q458" s="3">
        <v>6</v>
      </c>
      <c r="R458" s="3">
        <v>46217</v>
      </c>
      <c r="S458" s="3">
        <v>844</v>
      </c>
      <c r="T458" s="3" t="s">
        <v>45</v>
      </c>
      <c r="U458" s="3">
        <v>1</v>
      </c>
      <c r="V458" s="3">
        <v>1111</v>
      </c>
      <c r="W458" s="5" t="str">
        <f t="shared" si="28"/>
        <v>750+</v>
      </c>
      <c r="X458" s="5" t="str">
        <f t="shared" si="29"/>
        <v>Manageable (36-50%)</v>
      </c>
      <c r="Y458" s="5" t="str">
        <f t="shared" si="30"/>
        <v>Self-Employed</v>
      </c>
      <c r="Z458" s="3" t="str">
        <f t="shared" si="31"/>
        <v>Consumer &amp; Personal</v>
      </c>
    </row>
    <row r="459" spans="1:26" ht="17.399999999999999" x14ac:dyDescent="0.35">
      <c r="A459" s="3" t="s">
        <v>916</v>
      </c>
      <c r="B459" s="3" t="s">
        <v>917</v>
      </c>
      <c r="C459" s="4">
        <v>45567</v>
      </c>
      <c r="D459" s="3" t="s">
        <v>31</v>
      </c>
      <c r="E459" s="3">
        <v>11000</v>
      </c>
      <c r="F459" s="3">
        <v>24</v>
      </c>
      <c r="G459" s="3">
        <v>13.82</v>
      </c>
      <c r="H459" s="3">
        <v>527.21</v>
      </c>
      <c r="I459" s="3">
        <v>56.6</v>
      </c>
      <c r="J459" s="3" t="s">
        <v>32</v>
      </c>
      <c r="K459" s="3">
        <v>142</v>
      </c>
      <c r="L459" s="3">
        <v>1</v>
      </c>
      <c r="M459" s="3">
        <v>22</v>
      </c>
      <c r="N459" s="3" t="s">
        <v>93</v>
      </c>
      <c r="O459" s="3" t="s">
        <v>27</v>
      </c>
      <c r="P459" s="3" t="s">
        <v>37</v>
      </c>
      <c r="Q459" s="3">
        <v>1</v>
      </c>
      <c r="R459" s="3">
        <v>35533</v>
      </c>
      <c r="S459" s="3">
        <v>532</v>
      </c>
      <c r="T459" s="3" t="s">
        <v>29</v>
      </c>
      <c r="U459" s="3">
        <v>0</v>
      </c>
      <c r="V459" s="3">
        <v>1150</v>
      </c>
      <c r="W459" s="5" t="str">
        <f t="shared" si="28"/>
        <v>520-599</v>
      </c>
      <c r="X459" s="5" t="str">
        <f t="shared" si="29"/>
        <v>High (51-75%)</v>
      </c>
      <c r="Y459" s="5" t="str">
        <f t="shared" si="30"/>
        <v>Employed</v>
      </c>
      <c r="Z459" s="3" t="str">
        <f t="shared" si="31"/>
        <v>Debt &amp; Assets</v>
      </c>
    </row>
    <row r="460" spans="1:26" ht="17.399999999999999" x14ac:dyDescent="0.35">
      <c r="A460" s="3" t="s">
        <v>918</v>
      </c>
      <c r="B460" s="3" t="s">
        <v>919</v>
      </c>
      <c r="C460" s="4">
        <v>45495</v>
      </c>
      <c r="D460" s="3" t="s">
        <v>24</v>
      </c>
      <c r="E460" s="3">
        <v>19000</v>
      </c>
      <c r="F460" s="3">
        <v>48</v>
      </c>
      <c r="G460" s="3">
        <v>8.2100000000000009</v>
      </c>
      <c r="H460" s="3">
        <v>465.72</v>
      </c>
      <c r="I460" s="3">
        <v>17.600000000000001</v>
      </c>
      <c r="J460" s="3" t="s">
        <v>48</v>
      </c>
      <c r="K460" s="3">
        <v>0</v>
      </c>
      <c r="L460" s="3">
        <v>0</v>
      </c>
      <c r="M460" s="3">
        <v>62</v>
      </c>
      <c r="N460" s="3" t="s">
        <v>93</v>
      </c>
      <c r="O460" s="3" t="s">
        <v>72</v>
      </c>
      <c r="P460" s="3" t="s">
        <v>37</v>
      </c>
      <c r="Q460" s="3">
        <v>8</v>
      </c>
      <c r="R460" s="3">
        <v>129845</v>
      </c>
      <c r="S460" s="3">
        <v>709</v>
      </c>
      <c r="T460" s="3" t="s">
        <v>38</v>
      </c>
      <c r="U460" s="3">
        <v>2</v>
      </c>
      <c r="V460" s="3">
        <v>1444</v>
      </c>
      <c r="W460" s="5" t="str">
        <f t="shared" si="28"/>
        <v>700-749</v>
      </c>
      <c r="X460" s="5" t="str">
        <f t="shared" si="29"/>
        <v>Low (&lt;=35%)</v>
      </c>
      <c r="Y460" s="5" t="str">
        <f t="shared" si="30"/>
        <v>Employed</v>
      </c>
      <c r="Z460" s="3" t="str">
        <f t="shared" si="31"/>
        <v>Consumer &amp; Personal</v>
      </c>
    </row>
    <row r="461" spans="1:26" ht="17.399999999999999" x14ac:dyDescent="0.35">
      <c r="A461" s="3" t="s">
        <v>920</v>
      </c>
      <c r="B461" s="3" t="s">
        <v>921</v>
      </c>
      <c r="C461" s="4">
        <v>45564</v>
      </c>
      <c r="D461" s="3" t="s">
        <v>52</v>
      </c>
      <c r="E461" s="3">
        <v>9700</v>
      </c>
      <c r="F461" s="3">
        <v>24</v>
      </c>
      <c r="G461" s="3">
        <v>10.74</v>
      </c>
      <c r="H461" s="3">
        <v>450.93</v>
      </c>
      <c r="I461" s="3">
        <v>20.3</v>
      </c>
      <c r="J461" s="3" t="s">
        <v>48</v>
      </c>
      <c r="K461" s="3">
        <v>0</v>
      </c>
      <c r="L461" s="3">
        <v>0</v>
      </c>
      <c r="M461" s="3">
        <v>24</v>
      </c>
      <c r="N461" s="3" t="s">
        <v>26</v>
      </c>
      <c r="O461" s="3" t="s">
        <v>79</v>
      </c>
      <c r="P461" s="3" t="s">
        <v>37</v>
      </c>
      <c r="Q461" s="3">
        <v>4</v>
      </c>
      <c r="R461" s="3">
        <v>63025</v>
      </c>
      <c r="S461" s="3">
        <v>840</v>
      </c>
      <c r="T461" s="3" t="s">
        <v>45</v>
      </c>
      <c r="U461" s="3">
        <v>2</v>
      </c>
      <c r="V461" s="3">
        <v>613</v>
      </c>
      <c r="W461" s="5" t="str">
        <f t="shared" si="28"/>
        <v>750+</v>
      </c>
      <c r="X461" s="5" t="str">
        <f t="shared" si="29"/>
        <v>Low (&lt;=35%)</v>
      </c>
      <c r="Y461" s="5" t="str">
        <f t="shared" si="30"/>
        <v>Employed</v>
      </c>
      <c r="Z461" s="3" t="str">
        <f t="shared" si="31"/>
        <v>Investment &amp; Growth</v>
      </c>
    </row>
    <row r="462" spans="1:26" ht="17.399999999999999" x14ac:dyDescent="0.35">
      <c r="A462" s="3" t="s">
        <v>922</v>
      </c>
      <c r="B462" s="3" t="s">
        <v>923</v>
      </c>
      <c r="C462" s="4">
        <v>45690</v>
      </c>
      <c r="D462" s="3" t="s">
        <v>56</v>
      </c>
      <c r="E462" s="3">
        <v>38700</v>
      </c>
      <c r="F462" s="3">
        <v>48</v>
      </c>
      <c r="G462" s="3">
        <v>9.99</v>
      </c>
      <c r="H462" s="3">
        <v>981.35</v>
      </c>
      <c r="I462" s="3">
        <v>27.2</v>
      </c>
      <c r="J462" s="3" t="s">
        <v>99</v>
      </c>
      <c r="K462" s="3">
        <v>30</v>
      </c>
      <c r="L462" s="3">
        <v>0</v>
      </c>
      <c r="M462" s="3">
        <v>53</v>
      </c>
      <c r="N462" s="3" t="s">
        <v>89</v>
      </c>
      <c r="O462" s="3" t="s">
        <v>43</v>
      </c>
      <c r="P462" s="3" t="s">
        <v>37</v>
      </c>
      <c r="Q462" s="3">
        <v>1</v>
      </c>
      <c r="R462" s="3">
        <v>101087</v>
      </c>
      <c r="S462" s="3">
        <v>751</v>
      </c>
      <c r="T462" s="3" t="s">
        <v>38</v>
      </c>
      <c r="U462" s="3">
        <v>4</v>
      </c>
      <c r="V462" s="3">
        <v>1310</v>
      </c>
      <c r="W462" s="5" t="str">
        <f t="shared" si="28"/>
        <v>750+</v>
      </c>
      <c r="X462" s="5" t="str">
        <f t="shared" si="29"/>
        <v>Low (&lt;=35%)</v>
      </c>
      <c r="Y462" s="5" t="str">
        <f t="shared" si="30"/>
        <v>Employed</v>
      </c>
      <c r="Z462" s="3" t="str">
        <f t="shared" si="31"/>
        <v>Consumer &amp; Personal</v>
      </c>
    </row>
    <row r="463" spans="1:26" ht="17.399999999999999" x14ac:dyDescent="0.35">
      <c r="A463" s="3" t="s">
        <v>924</v>
      </c>
      <c r="B463" s="3" t="s">
        <v>925</v>
      </c>
      <c r="C463" s="4">
        <v>45642</v>
      </c>
      <c r="D463" s="3" t="s">
        <v>52</v>
      </c>
      <c r="E463" s="3">
        <v>38800</v>
      </c>
      <c r="F463" s="3">
        <v>24</v>
      </c>
      <c r="G463" s="3">
        <v>11.03</v>
      </c>
      <c r="H463" s="3">
        <v>1808.92</v>
      </c>
      <c r="I463" s="3">
        <v>70.099999999999994</v>
      </c>
      <c r="J463" s="3" t="s">
        <v>32</v>
      </c>
      <c r="K463" s="3">
        <v>32</v>
      </c>
      <c r="L463" s="3">
        <v>1</v>
      </c>
      <c r="M463" s="3">
        <v>23</v>
      </c>
      <c r="N463" s="3" t="s">
        <v>42</v>
      </c>
      <c r="O463" s="3" t="s">
        <v>43</v>
      </c>
      <c r="P463" s="3" t="s">
        <v>37</v>
      </c>
      <c r="Q463" s="3">
        <v>3</v>
      </c>
      <c r="R463" s="3">
        <v>63988</v>
      </c>
      <c r="S463" s="3">
        <v>554</v>
      </c>
      <c r="T463" s="3" t="s">
        <v>29</v>
      </c>
      <c r="U463" s="3">
        <v>2</v>
      </c>
      <c r="V463" s="3">
        <v>1927</v>
      </c>
      <c r="W463" s="5" t="str">
        <f t="shared" si="28"/>
        <v>520-599</v>
      </c>
      <c r="X463" s="5" t="str">
        <f t="shared" si="29"/>
        <v>High (51-75%)</v>
      </c>
      <c r="Y463" s="5" t="str">
        <f t="shared" si="30"/>
        <v>Employed</v>
      </c>
      <c r="Z463" s="3" t="str">
        <f t="shared" si="31"/>
        <v>Investment &amp; Growth</v>
      </c>
    </row>
    <row r="464" spans="1:26" ht="17.399999999999999" x14ac:dyDescent="0.35">
      <c r="A464" s="3" t="s">
        <v>926</v>
      </c>
      <c r="B464" s="3" t="s">
        <v>927</v>
      </c>
      <c r="C464" s="4">
        <v>45448</v>
      </c>
      <c r="D464" s="3" t="s">
        <v>41</v>
      </c>
      <c r="E464" s="3">
        <v>6000</v>
      </c>
      <c r="F464" s="3">
        <v>48</v>
      </c>
      <c r="G464" s="3">
        <v>11.91</v>
      </c>
      <c r="H464" s="3">
        <v>157.74</v>
      </c>
      <c r="I464" s="3">
        <v>12.6</v>
      </c>
      <c r="J464" s="3" t="s">
        <v>48</v>
      </c>
      <c r="K464" s="3">
        <v>0</v>
      </c>
      <c r="L464" s="3">
        <v>0</v>
      </c>
      <c r="M464" s="3">
        <v>60</v>
      </c>
      <c r="N464" s="3" t="s">
        <v>102</v>
      </c>
      <c r="O464" s="3" t="s">
        <v>58</v>
      </c>
      <c r="P464" s="3" t="s">
        <v>28</v>
      </c>
      <c r="Q464" s="3">
        <v>3</v>
      </c>
      <c r="R464" s="3">
        <v>134797</v>
      </c>
      <c r="S464" s="3">
        <v>560</v>
      </c>
      <c r="T464" s="3" t="s">
        <v>29</v>
      </c>
      <c r="U464" s="3">
        <v>1</v>
      </c>
      <c r="V464" s="3">
        <v>1255</v>
      </c>
      <c r="W464" s="5" t="str">
        <f t="shared" si="28"/>
        <v>520-599</v>
      </c>
      <c r="X464" s="5" t="str">
        <f t="shared" si="29"/>
        <v>Low (&lt;=35%)</v>
      </c>
      <c r="Y464" s="5" t="str">
        <f t="shared" si="30"/>
        <v>Self-Employed</v>
      </c>
      <c r="Z464" s="3" t="str">
        <f t="shared" si="31"/>
        <v>Debt &amp; Assets</v>
      </c>
    </row>
    <row r="465" spans="1:26" ht="17.399999999999999" x14ac:dyDescent="0.35">
      <c r="A465" s="3" t="s">
        <v>928</v>
      </c>
      <c r="B465" s="3" t="s">
        <v>929</v>
      </c>
      <c r="C465" s="4">
        <v>45397</v>
      </c>
      <c r="D465" s="3" t="s">
        <v>41</v>
      </c>
      <c r="E465" s="3">
        <v>13900</v>
      </c>
      <c r="F465" s="3">
        <v>48</v>
      </c>
      <c r="G465" s="3">
        <v>6.83</v>
      </c>
      <c r="H465" s="3">
        <v>331.76</v>
      </c>
      <c r="I465" s="3">
        <v>35.700000000000003</v>
      </c>
      <c r="J465" s="3" t="s">
        <v>48</v>
      </c>
      <c r="K465" s="3">
        <v>0</v>
      </c>
      <c r="L465" s="3">
        <v>0</v>
      </c>
      <c r="M465" s="3">
        <v>38</v>
      </c>
      <c r="N465" s="3" t="s">
        <v>135</v>
      </c>
      <c r="O465" s="3" t="s">
        <v>43</v>
      </c>
      <c r="P465" s="3" t="s">
        <v>37</v>
      </c>
      <c r="Q465" s="3">
        <v>0</v>
      </c>
      <c r="R465" s="3">
        <v>84953</v>
      </c>
      <c r="S465" s="3">
        <v>850</v>
      </c>
      <c r="T465" s="3" t="s">
        <v>45</v>
      </c>
      <c r="U465" s="3">
        <v>0</v>
      </c>
      <c r="V465" s="3">
        <v>2195</v>
      </c>
      <c r="W465" s="5" t="str">
        <f t="shared" si="28"/>
        <v>750+</v>
      </c>
      <c r="X465" s="5" t="str">
        <f t="shared" si="29"/>
        <v>Manageable (36-50%)</v>
      </c>
      <c r="Y465" s="5" t="str">
        <f t="shared" si="30"/>
        <v>Employed</v>
      </c>
      <c r="Z465" s="3" t="str">
        <f t="shared" si="31"/>
        <v>Debt &amp; Assets</v>
      </c>
    </row>
    <row r="466" spans="1:26" ht="17.399999999999999" x14ac:dyDescent="0.35">
      <c r="A466" s="3" t="s">
        <v>930</v>
      </c>
      <c r="B466" s="3" t="s">
        <v>931</v>
      </c>
      <c r="C466" s="4">
        <v>45331</v>
      </c>
      <c r="D466" s="3" t="s">
        <v>77</v>
      </c>
      <c r="E466" s="3">
        <v>9100</v>
      </c>
      <c r="F466" s="3">
        <v>12</v>
      </c>
      <c r="G466" s="3">
        <v>10.78</v>
      </c>
      <c r="H466" s="3">
        <v>803.34</v>
      </c>
      <c r="I466" s="3">
        <v>54.5</v>
      </c>
      <c r="J466" s="3" t="s">
        <v>32</v>
      </c>
      <c r="K466" s="3">
        <v>79</v>
      </c>
      <c r="L466" s="3">
        <v>1</v>
      </c>
      <c r="M466" s="3">
        <v>61</v>
      </c>
      <c r="N466" s="3" t="s">
        <v>84</v>
      </c>
      <c r="O466" s="3" t="s">
        <v>43</v>
      </c>
      <c r="P466" s="3" t="s">
        <v>37</v>
      </c>
      <c r="Q466" s="3">
        <v>32</v>
      </c>
      <c r="R466" s="3">
        <v>93595</v>
      </c>
      <c r="S466" s="3">
        <v>593</v>
      </c>
      <c r="T466" s="3" t="s">
        <v>29</v>
      </c>
      <c r="U466" s="3">
        <v>0</v>
      </c>
      <c r="V466" s="3">
        <v>3450</v>
      </c>
      <c r="W466" s="5" t="str">
        <f t="shared" si="28"/>
        <v>520-599</v>
      </c>
      <c r="X466" s="5" t="str">
        <f t="shared" si="29"/>
        <v>High (51-75%)</v>
      </c>
      <c r="Y466" s="5" t="str">
        <f t="shared" si="30"/>
        <v>Employed</v>
      </c>
      <c r="Z466" s="3" t="str">
        <f t="shared" si="31"/>
        <v>Consumer &amp; Personal</v>
      </c>
    </row>
    <row r="467" spans="1:26" ht="17.399999999999999" x14ac:dyDescent="0.35">
      <c r="A467" s="3" t="s">
        <v>932</v>
      </c>
      <c r="B467" s="3" t="s">
        <v>931</v>
      </c>
      <c r="C467" s="4">
        <v>45681</v>
      </c>
      <c r="D467" s="3" t="s">
        <v>56</v>
      </c>
      <c r="E467" s="3">
        <v>31600</v>
      </c>
      <c r="F467" s="3">
        <v>12</v>
      </c>
      <c r="G467" s="3">
        <v>14.44</v>
      </c>
      <c r="H467" s="3">
        <v>2843.82</v>
      </c>
      <c r="I467" s="3">
        <v>80.7</v>
      </c>
      <c r="J467" s="3" t="s">
        <v>32</v>
      </c>
      <c r="K467" s="3">
        <v>108</v>
      </c>
      <c r="L467" s="3">
        <v>1</v>
      </c>
      <c r="M467" s="3">
        <v>61</v>
      </c>
      <c r="N467" s="3" t="s">
        <v>84</v>
      </c>
      <c r="O467" s="3" t="s">
        <v>43</v>
      </c>
      <c r="P467" s="3" t="s">
        <v>37</v>
      </c>
      <c r="Q467" s="3">
        <v>32</v>
      </c>
      <c r="R467" s="3">
        <v>93595</v>
      </c>
      <c r="S467" s="3">
        <v>593</v>
      </c>
      <c r="T467" s="3" t="s">
        <v>29</v>
      </c>
      <c r="U467" s="3">
        <v>0</v>
      </c>
      <c r="V467" s="3">
        <v>3450</v>
      </c>
      <c r="W467" s="5" t="str">
        <f t="shared" si="28"/>
        <v>520-599</v>
      </c>
      <c r="X467" s="5" t="str">
        <f t="shared" si="29"/>
        <v>Critical (&gt;75%)</v>
      </c>
      <c r="Y467" s="5" t="str">
        <f t="shared" si="30"/>
        <v>Employed</v>
      </c>
      <c r="Z467" s="3" t="str">
        <f t="shared" si="31"/>
        <v>Consumer &amp; Personal</v>
      </c>
    </row>
    <row r="468" spans="1:26" ht="17.399999999999999" x14ac:dyDescent="0.35">
      <c r="A468" s="3" t="s">
        <v>933</v>
      </c>
      <c r="B468" s="3" t="s">
        <v>934</v>
      </c>
      <c r="C468" s="4">
        <v>45344</v>
      </c>
      <c r="D468" s="3" t="s">
        <v>64</v>
      </c>
      <c r="E468" s="3">
        <v>8800</v>
      </c>
      <c r="F468" s="3">
        <v>12</v>
      </c>
      <c r="G468" s="3">
        <v>9.35</v>
      </c>
      <c r="H468" s="3">
        <v>771</v>
      </c>
      <c r="I468" s="3">
        <v>36.200000000000003</v>
      </c>
      <c r="J468" s="3" t="s">
        <v>48</v>
      </c>
      <c r="K468" s="3">
        <v>0</v>
      </c>
      <c r="L468" s="3">
        <v>0</v>
      </c>
      <c r="M468" s="3">
        <v>53</v>
      </c>
      <c r="N468" s="3" t="s">
        <v>102</v>
      </c>
      <c r="O468" s="3" t="s">
        <v>27</v>
      </c>
      <c r="P468" s="3" t="s">
        <v>37</v>
      </c>
      <c r="Q468" s="3">
        <v>12</v>
      </c>
      <c r="R468" s="3">
        <v>31657</v>
      </c>
      <c r="S468" s="3">
        <v>792</v>
      </c>
      <c r="T468" s="3" t="s">
        <v>45</v>
      </c>
      <c r="U468" s="3">
        <v>0</v>
      </c>
      <c r="V468" s="3">
        <v>183</v>
      </c>
      <c r="W468" s="5" t="str">
        <f t="shared" si="28"/>
        <v>750+</v>
      </c>
      <c r="X468" s="5" t="str">
        <f t="shared" si="29"/>
        <v>Manageable (36-50%)</v>
      </c>
      <c r="Y468" s="5" t="str">
        <f t="shared" si="30"/>
        <v>Employed</v>
      </c>
      <c r="Z468" s="3" t="str">
        <f t="shared" si="31"/>
        <v>Investment &amp; Growth</v>
      </c>
    </row>
    <row r="469" spans="1:26" ht="17.399999999999999" x14ac:dyDescent="0.35">
      <c r="A469" s="3" t="s">
        <v>935</v>
      </c>
      <c r="B469" s="3" t="s">
        <v>936</v>
      </c>
      <c r="C469" s="4">
        <v>45345</v>
      </c>
      <c r="D469" s="3" t="s">
        <v>31</v>
      </c>
      <c r="E469" s="3">
        <v>45000</v>
      </c>
      <c r="F469" s="3">
        <v>24</v>
      </c>
      <c r="G469" s="3">
        <v>9.1999999999999993</v>
      </c>
      <c r="H469" s="3">
        <v>2059.9499999999998</v>
      </c>
      <c r="I469" s="3">
        <v>72.5</v>
      </c>
      <c r="J469" s="3" t="s">
        <v>48</v>
      </c>
      <c r="K469" s="3">
        <v>0</v>
      </c>
      <c r="L469" s="3">
        <v>0</v>
      </c>
      <c r="M469" s="3">
        <v>53</v>
      </c>
      <c r="N469" s="3" t="s">
        <v>53</v>
      </c>
      <c r="O469" s="3" t="s">
        <v>72</v>
      </c>
      <c r="P469" s="3" t="s">
        <v>28</v>
      </c>
      <c r="Q469" s="3">
        <v>0</v>
      </c>
      <c r="R469" s="3">
        <v>95840</v>
      </c>
      <c r="S469" s="3">
        <v>660</v>
      </c>
      <c r="T469" s="3" t="s">
        <v>38</v>
      </c>
      <c r="U469" s="3">
        <v>3</v>
      </c>
      <c r="V469" s="3">
        <v>3734</v>
      </c>
      <c r="W469" s="5" t="str">
        <f t="shared" si="28"/>
        <v>650-699</v>
      </c>
      <c r="X469" s="5" t="str">
        <f t="shared" si="29"/>
        <v>High (51-75%)</v>
      </c>
      <c r="Y469" s="5" t="str">
        <f t="shared" si="30"/>
        <v>Self-Employed</v>
      </c>
      <c r="Z469" s="3" t="str">
        <f t="shared" si="31"/>
        <v>Debt &amp; Assets</v>
      </c>
    </row>
    <row r="470" spans="1:26" ht="17.399999999999999" x14ac:dyDescent="0.35">
      <c r="A470" s="3" t="s">
        <v>937</v>
      </c>
      <c r="B470" s="3" t="s">
        <v>938</v>
      </c>
      <c r="C470" s="4">
        <v>45603</v>
      </c>
      <c r="D470" s="3" t="s">
        <v>77</v>
      </c>
      <c r="E470" s="3">
        <v>5800</v>
      </c>
      <c r="F470" s="3">
        <v>48</v>
      </c>
      <c r="G470" s="3">
        <v>12.35</v>
      </c>
      <c r="H470" s="3">
        <v>153.72999999999999</v>
      </c>
      <c r="I470" s="3">
        <v>57.8</v>
      </c>
      <c r="J470" s="3" t="s">
        <v>32</v>
      </c>
      <c r="K470" s="3">
        <v>33</v>
      </c>
      <c r="L470" s="3">
        <v>1</v>
      </c>
      <c r="M470" s="3">
        <v>64</v>
      </c>
      <c r="N470" s="3" t="s">
        <v>36</v>
      </c>
      <c r="O470" s="3" t="s">
        <v>43</v>
      </c>
      <c r="P470" s="3" t="s">
        <v>85</v>
      </c>
      <c r="Q470" s="3">
        <v>6</v>
      </c>
      <c r="R470" s="3">
        <v>54199</v>
      </c>
      <c r="S470" s="3">
        <v>568</v>
      </c>
      <c r="T470" s="3" t="s">
        <v>29</v>
      </c>
      <c r="U470" s="3">
        <v>0</v>
      </c>
      <c r="V470" s="3">
        <v>2458</v>
      </c>
      <c r="W470" s="5" t="str">
        <f t="shared" si="28"/>
        <v>520-599</v>
      </c>
      <c r="X470" s="5" t="str">
        <f t="shared" si="29"/>
        <v>High (51-75%)</v>
      </c>
      <c r="Y470" s="5" t="str">
        <f t="shared" si="30"/>
        <v>Retired</v>
      </c>
      <c r="Z470" s="3" t="str">
        <f t="shared" si="31"/>
        <v>Consumer &amp; Personal</v>
      </c>
    </row>
    <row r="471" spans="1:26" ht="17.399999999999999" x14ac:dyDescent="0.35">
      <c r="A471" s="3" t="s">
        <v>939</v>
      </c>
      <c r="B471" s="3" t="s">
        <v>940</v>
      </c>
      <c r="C471" s="4">
        <v>45833</v>
      </c>
      <c r="D471" s="3" t="s">
        <v>56</v>
      </c>
      <c r="E471" s="3">
        <v>35100</v>
      </c>
      <c r="F471" s="3">
        <v>36</v>
      </c>
      <c r="G471" s="3">
        <v>14.46</v>
      </c>
      <c r="H471" s="3">
        <v>1207.49</v>
      </c>
      <c r="I471" s="3">
        <v>63.5</v>
      </c>
      <c r="J471" s="3" t="s">
        <v>48</v>
      </c>
      <c r="K471" s="3">
        <v>0</v>
      </c>
      <c r="L471" s="3">
        <v>0</v>
      </c>
      <c r="M471" s="3">
        <v>40</v>
      </c>
      <c r="N471" s="3" t="s">
        <v>135</v>
      </c>
      <c r="O471" s="3" t="s">
        <v>79</v>
      </c>
      <c r="P471" s="3" t="s">
        <v>37</v>
      </c>
      <c r="Q471" s="3">
        <v>9</v>
      </c>
      <c r="R471" s="3">
        <v>66968</v>
      </c>
      <c r="S471" s="3">
        <v>555</v>
      </c>
      <c r="T471" s="3" t="s">
        <v>45</v>
      </c>
      <c r="U471" s="3">
        <v>1</v>
      </c>
      <c r="V471" s="3">
        <v>2339</v>
      </c>
      <c r="W471" s="5" t="str">
        <f t="shared" si="28"/>
        <v>520-599</v>
      </c>
      <c r="X471" s="5" t="str">
        <f t="shared" si="29"/>
        <v>High (51-75%)</v>
      </c>
      <c r="Y471" s="5" t="str">
        <f t="shared" si="30"/>
        <v>Employed</v>
      </c>
      <c r="Z471" s="3" t="str">
        <f t="shared" si="31"/>
        <v>Consumer &amp; Personal</v>
      </c>
    </row>
    <row r="472" spans="1:26" ht="17.399999999999999" x14ac:dyDescent="0.35">
      <c r="A472" s="3" t="s">
        <v>941</v>
      </c>
      <c r="B472" s="3" t="s">
        <v>942</v>
      </c>
      <c r="C472" s="4">
        <v>45487</v>
      </c>
      <c r="D472" s="3" t="s">
        <v>61</v>
      </c>
      <c r="E472" s="3">
        <v>8300</v>
      </c>
      <c r="F472" s="3">
        <v>60</v>
      </c>
      <c r="G472" s="3">
        <v>10.6</v>
      </c>
      <c r="H472" s="3">
        <v>178.81</v>
      </c>
      <c r="I472" s="3">
        <v>40</v>
      </c>
      <c r="J472" s="3" t="s">
        <v>32</v>
      </c>
      <c r="K472" s="3">
        <v>144</v>
      </c>
      <c r="L472" s="3">
        <v>1</v>
      </c>
      <c r="M472" s="3">
        <v>28</v>
      </c>
      <c r="N472" s="3" t="s">
        <v>26</v>
      </c>
      <c r="O472" s="3" t="s">
        <v>72</v>
      </c>
      <c r="P472" s="3" t="s">
        <v>44</v>
      </c>
      <c r="Q472" s="3">
        <v>2</v>
      </c>
      <c r="R472" s="3">
        <v>55429</v>
      </c>
      <c r="S472" s="3">
        <v>600</v>
      </c>
      <c r="T472" s="3" t="s">
        <v>45</v>
      </c>
      <c r="U472" s="3">
        <v>1</v>
      </c>
      <c r="V472" s="3">
        <v>1667</v>
      </c>
      <c r="W472" s="5" t="str">
        <f t="shared" si="28"/>
        <v>600-649</v>
      </c>
      <c r="X472" s="5" t="str">
        <f t="shared" si="29"/>
        <v>Manageable (36-50%)</v>
      </c>
      <c r="Y472" s="5" t="str">
        <f t="shared" si="30"/>
        <v>Employed</v>
      </c>
      <c r="Z472" s="3" t="str">
        <f t="shared" si="31"/>
        <v>Investment &amp; Growth</v>
      </c>
    </row>
    <row r="473" spans="1:26" ht="17.399999999999999" x14ac:dyDescent="0.35">
      <c r="A473" s="3" t="s">
        <v>943</v>
      </c>
      <c r="B473" s="3" t="s">
        <v>944</v>
      </c>
      <c r="C473" s="4">
        <v>45498</v>
      </c>
      <c r="D473" s="3" t="s">
        <v>61</v>
      </c>
      <c r="E473" s="3">
        <v>26300</v>
      </c>
      <c r="F473" s="3">
        <v>36</v>
      </c>
      <c r="G473" s="3">
        <v>11.46</v>
      </c>
      <c r="H473" s="3">
        <v>866.77</v>
      </c>
      <c r="I473" s="3">
        <v>75.599999999999994</v>
      </c>
      <c r="J473" s="3" t="s">
        <v>48</v>
      </c>
      <c r="K473" s="3">
        <v>0</v>
      </c>
      <c r="L473" s="3">
        <v>0</v>
      </c>
      <c r="M473" s="3">
        <v>68</v>
      </c>
      <c r="N473" s="3" t="s">
        <v>42</v>
      </c>
      <c r="O473" s="3" t="s">
        <v>27</v>
      </c>
      <c r="P473" s="3" t="s">
        <v>44</v>
      </c>
      <c r="Q473" s="3">
        <v>25</v>
      </c>
      <c r="R473" s="3">
        <v>28837</v>
      </c>
      <c r="S473" s="3">
        <v>730</v>
      </c>
      <c r="T473" s="3" t="s">
        <v>29</v>
      </c>
      <c r="U473" s="3">
        <v>3</v>
      </c>
      <c r="V473" s="3">
        <v>949</v>
      </c>
      <c r="W473" s="5" t="str">
        <f t="shared" si="28"/>
        <v>700-749</v>
      </c>
      <c r="X473" s="5" t="str">
        <f t="shared" si="29"/>
        <v>Critical (&gt;75%)</v>
      </c>
      <c r="Y473" s="5" t="str">
        <f t="shared" si="30"/>
        <v>Employed</v>
      </c>
      <c r="Z473" s="3" t="str">
        <f t="shared" si="31"/>
        <v>Investment &amp; Growth</v>
      </c>
    </row>
    <row r="474" spans="1:26" ht="17.399999999999999" x14ac:dyDescent="0.35">
      <c r="A474" s="3" t="s">
        <v>945</v>
      </c>
      <c r="B474" s="3" t="s">
        <v>944</v>
      </c>
      <c r="C474" s="4">
        <v>45666</v>
      </c>
      <c r="D474" s="3" t="s">
        <v>31</v>
      </c>
      <c r="E474" s="3">
        <v>8500</v>
      </c>
      <c r="F474" s="3">
        <v>60</v>
      </c>
      <c r="G474" s="3">
        <v>12.71</v>
      </c>
      <c r="H474" s="3">
        <v>192.14</v>
      </c>
      <c r="I474" s="3">
        <v>47.5</v>
      </c>
      <c r="J474" s="3" t="s">
        <v>25</v>
      </c>
      <c r="K474" s="3">
        <v>0</v>
      </c>
      <c r="L474" s="3">
        <v>0</v>
      </c>
      <c r="M474" s="3">
        <v>68</v>
      </c>
      <c r="N474" s="3" t="s">
        <v>42</v>
      </c>
      <c r="O474" s="3" t="s">
        <v>27</v>
      </c>
      <c r="P474" s="3" t="s">
        <v>44</v>
      </c>
      <c r="Q474" s="3">
        <v>25</v>
      </c>
      <c r="R474" s="3">
        <v>28837</v>
      </c>
      <c r="S474" s="3">
        <v>730</v>
      </c>
      <c r="T474" s="3" t="s">
        <v>29</v>
      </c>
      <c r="U474" s="3">
        <v>3</v>
      </c>
      <c r="V474" s="3">
        <v>949</v>
      </c>
      <c r="W474" s="5" t="str">
        <f t="shared" si="28"/>
        <v>700-749</v>
      </c>
      <c r="X474" s="5" t="str">
        <f t="shared" si="29"/>
        <v>Manageable (36-50%)</v>
      </c>
      <c r="Y474" s="5" t="str">
        <f t="shared" si="30"/>
        <v>Employed</v>
      </c>
      <c r="Z474" s="3" t="str">
        <f t="shared" si="31"/>
        <v>Debt &amp; Assets</v>
      </c>
    </row>
    <row r="475" spans="1:26" ht="17.399999999999999" x14ac:dyDescent="0.35">
      <c r="A475" s="3" t="s">
        <v>946</v>
      </c>
      <c r="B475" s="3" t="s">
        <v>947</v>
      </c>
      <c r="C475" s="4">
        <v>45572</v>
      </c>
      <c r="D475" s="3" t="s">
        <v>31</v>
      </c>
      <c r="E475" s="3">
        <v>47700</v>
      </c>
      <c r="F475" s="3">
        <v>12</v>
      </c>
      <c r="G475" s="3">
        <v>10.97</v>
      </c>
      <c r="H475" s="3">
        <v>4215.1400000000003</v>
      </c>
      <c r="I475" s="3">
        <v>122</v>
      </c>
      <c r="J475" s="3" t="s">
        <v>48</v>
      </c>
      <c r="K475" s="3">
        <v>0</v>
      </c>
      <c r="L475" s="3">
        <v>0</v>
      </c>
      <c r="M475" s="3">
        <v>52</v>
      </c>
      <c r="N475" s="3" t="s">
        <v>49</v>
      </c>
      <c r="O475" s="3" t="s">
        <v>72</v>
      </c>
      <c r="P475" s="3" t="s">
        <v>73</v>
      </c>
      <c r="Q475" s="3">
        <v>8</v>
      </c>
      <c r="R475" s="3">
        <v>67635</v>
      </c>
      <c r="S475" s="3">
        <v>592</v>
      </c>
      <c r="T475" s="3" t="s">
        <v>29</v>
      </c>
      <c r="U475" s="3">
        <v>4</v>
      </c>
      <c r="V475" s="3">
        <v>2661</v>
      </c>
      <c r="W475" s="5" t="str">
        <f t="shared" si="28"/>
        <v>520-599</v>
      </c>
      <c r="X475" s="5" t="str">
        <f t="shared" si="29"/>
        <v>Critical (&gt;75%)</v>
      </c>
      <c r="Y475" s="5" t="str">
        <f t="shared" si="30"/>
        <v>Employed</v>
      </c>
      <c r="Z475" s="3" t="str">
        <f t="shared" si="31"/>
        <v>Debt &amp; Assets</v>
      </c>
    </row>
    <row r="476" spans="1:26" ht="17.399999999999999" x14ac:dyDescent="0.35">
      <c r="A476" s="3" t="s">
        <v>948</v>
      </c>
      <c r="B476" s="3" t="s">
        <v>949</v>
      </c>
      <c r="C476" s="4">
        <v>45368</v>
      </c>
      <c r="D476" s="3" t="s">
        <v>64</v>
      </c>
      <c r="E476" s="3">
        <v>21100</v>
      </c>
      <c r="F476" s="3">
        <v>60</v>
      </c>
      <c r="G476" s="3">
        <v>11.78</v>
      </c>
      <c r="H476" s="3">
        <v>467.02</v>
      </c>
      <c r="I476" s="3">
        <v>17.5</v>
      </c>
      <c r="J476" s="3" t="s">
        <v>48</v>
      </c>
      <c r="K476" s="3">
        <v>0</v>
      </c>
      <c r="L476" s="3">
        <v>0</v>
      </c>
      <c r="M476" s="3">
        <v>28</v>
      </c>
      <c r="N476" s="3" t="s">
        <v>179</v>
      </c>
      <c r="O476" s="3" t="s">
        <v>43</v>
      </c>
      <c r="P476" s="3" t="s">
        <v>73</v>
      </c>
      <c r="Q476" s="3">
        <v>2</v>
      </c>
      <c r="R476" s="3">
        <v>50481</v>
      </c>
      <c r="S476" s="3">
        <v>754</v>
      </c>
      <c r="T476" s="3" t="s">
        <v>45</v>
      </c>
      <c r="U476" s="3">
        <v>1</v>
      </c>
      <c r="V476" s="3">
        <v>270</v>
      </c>
      <c r="W476" s="5" t="str">
        <f t="shared" si="28"/>
        <v>750+</v>
      </c>
      <c r="X476" s="5" t="str">
        <f t="shared" si="29"/>
        <v>Low (&lt;=35%)</v>
      </c>
      <c r="Y476" s="5" t="str">
        <f t="shared" si="30"/>
        <v>Employed</v>
      </c>
      <c r="Z476" s="3" t="str">
        <f t="shared" si="31"/>
        <v>Investment &amp; Growth</v>
      </c>
    </row>
    <row r="477" spans="1:26" ht="17.399999999999999" x14ac:dyDescent="0.35">
      <c r="A477" s="3" t="s">
        <v>950</v>
      </c>
      <c r="B477" s="3" t="s">
        <v>951</v>
      </c>
      <c r="C477" s="4">
        <v>45515</v>
      </c>
      <c r="D477" s="3" t="s">
        <v>31</v>
      </c>
      <c r="E477" s="3">
        <v>11900</v>
      </c>
      <c r="F477" s="3">
        <v>12</v>
      </c>
      <c r="G477" s="3">
        <v>7.52</v>
      </c>
      <c r="H477" s="3">
        <v>1032.52</v>
      </c>
      <c r="I477" s="3">
        <v>17.600000000000001</v>
      </c>
      <c r="J477" s="3" t="s">
        <v>25</v>
      </c>
      <c r="K477" s="3">
        <v>0</v>
      </c>
      <c r="L477" s="3">
        <v>0</v>
      </c>
      <c r="M477" s="3">
        <v>65</v>
      </c>
      <c r="N477" s="3" t="s">
        <v>102</v>
      </c>
      <c r="O477" s="3" t="s">
        <v>72</v>
      </c>
      <c r="P477" s="3" t="s">
        <v>28</v>
      </c>
      <c r="Q477" s="3">
        <v>31</v>
      </c>
      <c r="R477" s="3">
        <v>131113</v>
      </c>
      <c r="S477" s="3">
        <v>797</v>
      </c>
      <c r="T477" s="3" t="s">
        <v>38</v>
      </c>
      <c r="U477" s="3">
        <v>1</v>
      </c>
      <c r="V477" s="3">
        <v>892</v>
      </c>
      <c r="W477" s="5" t="str">
        <f t="shared" si="28"/>
        <v>750+</v>
      </c>
      <c r="X477" s="5" t="str">
        <f t="shared" si="29"/>
        <v>Low (&lt;=35%)</v>
      </c>
      <c r="Y477" s="5" t="str">
        <f t="shared" si="30"/>
        <v>Self-Employed</v>
      </c>
      <c r="Z477" s="3" t="str">
        <f t="shared" si="31"/>
        <v>Debt &amp; Assets</v>
      </c>
    </row>
    <row r="478" spans="1:26" ht="17.399999999999999" x14ac:dyDescent="0.35">
      <c r="A478" s="3" t="s">
        <v>952</v>
      </c>
      <c r="B478" s="3" t="s">
        <v>953</v>
      </c>
      <c r="C478" s="4">
        <v>45595</v>
      </c>
      <c r="D478" s="3" t="s">
        <v>35</v>
      </c>
      <c r="E478" s="3">
        <v>27200</v>
      </c>
      <c r="F478" s="3">
        <v>36</v>
      </c>
      <c r="G478" s="3">
        <v>10.43</v>
      </c>
      <c r="H478" s="3">
        <v>883.17</v>
      </c>
      <c r="I478" s="3">
        <v>48.4</v>
      </c>
      <c r="J478" s="3" t="s">
        <v>48</v>
      </c>
      <c r="K478" s="3">
        <v>0</v>
      </c>
      <c r="L478" s="3">
        <v>0</v>
      </c>
      <c r="M478" s="3">
        <v>63</v>
      </c>
      <c r="N478" s="3" t="s">
        <v>135</v>
      </c>
      <c r="O478" s="3" t="s">
        <v>79</v>
      </c>
      <c r="P478" s="3" t="s">
        <v>28</v>
      </c>
      <c r="Q478" s="3">
        <v>14</v>
      </c>
      <c r="R478" s="3">
        <v>60720</v>
      </c>
      <c r="S478" s="3">
        <v>830</v>
      </c>
      <c r="T478" s="3" t="s">
        <v>29</v>
      </c>
      <c r="U478" s="3">
        <v>3</v>
      </c>
      <c r="V478" s="3">
        <v>1566</v>
      </c>
      <c r="W478" s="5" t="str">
        <f t="shared" si="28"/>
        <v>750+</v>
      </c>
      <c r="X478" s="5" t="str">
        <f t="shared" si="29"/>
        <v>Manageable (36-50%)</v>
      </c>
      <c r="Y478" s="5" t="str">
        <f t="shared" si="30"/>
        <v>Self-Employed</v>
      </c>
      <c r="Z478" s="3" t="str">
        <f t="shared" si="31"/>
        <v>Consumer &amp; Personal</v>
      </c>
    </row>
    <row r="479" spans="1:26" ht="17.399999999999999" x14ac:dyDescent="0.35">
      <c r="A479" s="3" t="s">
        <v>954</v>
      </c>
      <c r="B479" s="3" t="s">
        <v>955</v>
      </c>
      <c r="C479" s="4">
        <v>45568</v>
      </c>
      <c r="D479" s="3" t="s">
        <v>64</v>
      </c>
      <c r="E479" s="3">
        <v>32700</v>
      </c>
      <c r="F479" s="3">
        <v>36</v>
      </c>
      <c r="G479" s="3">
        <v>13.44</v>
      </c>
      <c r="H479" s="3">
        <v>1108.74</v>
      </c>
      <c r="I479" s="3">
        <v>24.4</v>
      </c>
      <c r="J479" s="3" t="s">
        <v>25</v>
      </c>
      <c r="K479" s="3">
        <v>0</v>
      </c>
      <c r="L479" s="3">
        <v>0</v>
      </c>
      <c r="M479" s="3">
        <v>66</v>
      </c>
      <c r="N479" s="3" t="s">
        <v>135</v>
      </c>
      <c r="O479" s="3" t="s">
        <v>72</v>
      </c>
      <c r="P479" s="3" t="s">
        <v>37</v>
      </c>
      <c r="Q479" s="3">
        <v>30</v>
      </c>
      <c r="R479" s="3">
        <v>111374</v>
      </c>
      <c r="S479" s="3">
        <v>672</v>
      </c>
      <c r="T479" s="3" t="s">
        <v>45</v>
      </c>
      <c r="U479" s="3">
        <v>2</v>
      </c>
      <c r="V479" s="3">
        <v>1153</v>
      </c>
      <c r="W479" s="5" t="str">
        <f t="shared" si="28"/>
        <v>650-699</v>
      </c>
      <c r="X479" s="5" t="str">
        <f t="shared" si="29"/>
        <v>Low (&lt;=35%)</v>
      </c>
      <c r="Y479" s="5" t="str">
        <f t="shared" si="30"/>
        <v>Employed</v>
      </c>
      <c r="Z479" s="3" t="str">
        <f t="shared" si="31"/>
        <v>Investment &amp; Growth</v>
      </c>
    </row>
    <row r="480" spans="1:26" ht="17.399999999999999" x14ac:dyDescent="0.35">
      <c r="A480" s="3" t="s">
        <v>956</v>
      </c>
      <c r="B480" s="3" t="s">
        <v>957</v>
      </c>
      <c r="C480" s="4">
        <v>45669</v>
      </c>
      <c r="D480" s="3" t="s">
        <v>64</v>
      </c>
      <c r="E480" s="3">
        <v>2000</v>
      </c>
      <c r="F480" s="3">
        <v>36</v>
      </c>
      <c r="G480" s="3">
        <v>13.08</v>
      </c>
      <c r="H480" s="3">
        <v>67.459999999999994</v>
      </c>
      <c r="I480" s="3">
        <v>15.9</v>
      </c>
      <c r="J480" s="3" t="s">
        <v>99</v>
      </c>
      <c r="K480" s="3">
        <v>15</v>
      </c>
      <c r="L480" s="3">
        <v>0</v>
      </c>
      <c r="M480" s="3">
        <v>57</v>
      </c>
      <c r="N480" s="3" t="s">
        <v>340</v>
      </c>
      <c r="O480" s="3" t="s">
        <v>72</v>
      </c>
      <c r="P480" s="3" t="s">
        <v>73</v>
      </c>
      <c r="Q480" s="3">
        <v>32</v>
      </c>
      <c r="R480" s="3">
        <v>30579</v>
      </c>
      <c r="S480" s="3">
        <v>605</v>
      </c>
      <c r="T480" s="3" t="s">
        <v>29</v>
      </c>
      <c r="U480" s="3">
        <v>1</v>
      </c>
      <c r="V480" s="3">
        <v>338</v>
      </c>
      <c r="W480" s="5" t="str">
        <f t="shared" si="28"/>
        <v>600-649</v>
      </c>
      <c r="X480" s="5" t="str">
        <f t="shared" si="29"/>
        <v>Low (&lt;=35%)</v>
      </c>
      <c r="Y480" s="5" t="str">
        <f t="shared" si="30"/>
        <v>Employed</v>
      </c>
      <c r="Z480" s="3" t="str">
        <f t="shared" si="31"/>
        <v>Investment &amp; Growth</v>
      </c>
    </row>
    <row r="481" spans="1:26" ht="17.399999999999999" x14ac:dyDescent="0.35">
      <c r="A481" s="3" t="s">
        <v>958</v>
      </c>
      <c r="B481" s="3" t="s">
        <v>957</v>
      </c>
      <c r="C481" s="4">
        <v>45350</v>
      </c>
      <c r="D481" s="3" t="s">
        <v>41</v>
      </c>
      <c r="E481" s="3">
        <v>15700</v>
      </c>
      <c r="F481" s="3">
        <v>60</v>
      </c>
      <c r="G481" s="3">
        <v>11.39</v>
      </c>
      <c r="H481" s="3">
        <v>344.42</v>
      </c>
      <c r="I481" s="3">
        <v>26.8</v>
      </c>
      <c r="J481" s="3" t="s">
        <v>48</v>
      </c>
      <c r="K481" s="3">
        <v>0</v>
      </c>
      <c r="L481" s="3">
        <v>0</v>
      </c>
      <c r="M481" s="3">
        <v>57</v>
      </c>
      <c r="N481" s="3" t="s">
        <v>340</v>
      </c>
      <c r="O481" s="3" t="s">
        <v>72</v>
      </c>
      <c r="P481" s="3" t="s">
        <v>73</v>
      </c>
      <c r="Q481" s="3">
        <v>32</v>
      </c>
      <c r="R481" s="3">
        <v>30579</v>
      </c>
      <c r="S481" s="3">
        <v>605</v>
      </c>
      <c r="T481" s="3" t="s">
        <v>29</v>
      </c>
      <c r="U481" s="3">
        <v>1</v>
      </c>
      <c r="V481" s="3">
        <v>338</v>
      </c>
      <c r="W481" s="5" t="str">
        <f t="shared" si="28"/>
        <v>600-649</v>
      </c>
      <c r="X481" s="5" t="str">
        <f t="shared" si="29"/>
        <v>Low (&lt;=35%)</v>
      </c>
      <c r="Y481" s="5" t="str">
        <f t="shared" si="30"/>
        <v>Employed</v>
      </c>
      <c r="Z481" s="3" t="str">
        <f t="shared" si="31"/>
        <v>Debt &amp; Assets</v>
      </c>
    </row>
    <row r="482" spans="1:26" ht="17.399999999999999" x14ac:dyDescent="0.35">
      <c r="A482" s="3" t="s">
        <v>959</v>
      </c>
      <c r="B482" s="3" t="s">
        <v>960</v>
      </c>
      <c r="C482" s="4">
        <v>45400</v>
      </c>
      <c r="D482" s="3" t="s">
        <v>41</v>
      </c>
      <c r="E482" s="3">
        <v>21100</v>
      </c>
      <c r="F482" s="3">
        <v>60</v>
      </c>
      <c r="G482" s="3">
        <v>10.14</v>
      </c>
      <c r="H482" s="3">
        <v>449.77</v>
      </c>
      <c r="I482" s="3">
        <v>29.5</v>
      </c>
      <c r="J482" s="3" t="s">
        <v>25</v>
      </c>
      <c r="K482" s="3">
        <v>0</v>
      </c>
      <c r="L482" s="3">
        <v>0</v>
      </c>
      <c r="M482" s="3">
        <v>53</v>
      </c>
      <c r="N482" s="3" t="s">
        <v>78</v>
      </c>
      <c r="O482" s="3" t="s">
        <v>79</v>
      </c>
      <c r="P482" s="3" t="s">
        <v>37</v>
      </c>
      <c r="Q482" s="3">
        <v>14</v>
      </c>
      <c r="R482" s="3">
        <v>42250</v>
      </c>
      <c r="S482" s="3">
        <v>789</v>
      </c>
      <c r="T482" s="3" t="s">
        <v>45</v>
      </c>
      <c r="U482" s="3">
        <v>1</v>
      </c>
      <c r="V482" s="3">
        <v>589</v>
      </c>
      <c r="W482" s="5" t="str">
        <f t="shared" si="28"/>
        <v>750+</v>
      </c>
      <c r="X482" s="5" t="str">
        <f t="shared" si="29"/>
        <v>Low (&lt;=35%)</v>
      </c>
      <c r="Y482" s="5" t="str">
        <f t="shared" si="30"/>
        <v>Employed</v>
      </c>
      <c r="Z482" s="3" t="str">
        <f t="shared" si="31"/>
        <v>Debt &amp; Assets</v>
      </c>
    </row>
    <row r="483" spans="1:26" ht="17.399999999999999" x14ac:dyDescent="0.35">
      <c r="A483" s="3" t="s">
        <v>961</v>
      </c>
      <c r="B483" s="3" t="s">
        <v>962</v>
      </c>
      <c r="C483" s="4">
        <v>45500</v>
      </c>
      <c r="D483" s="3" t="s">
        <v>77</v>
      </c>
      <c r="E483" s="3">
        <v>20300</v>
      </c>
      <c r="F483" s="3">
        <v>24</v>
      </c>
      <c r="G483" s="3">
        <v>8.6199999999999992</v>
      </c>
      <c r="H483" s="3">
        <v>923.86</v>
      </c>
      <c r="I483" s="3">
        <v>49.5</v>
      </c>
      <c r="J483" s="3" t="s">
        <v>25</v>
      </c>
      <c r="K483" s="3">
        <v>0</v>
      </c>
      <c r="L483" s="3">
        <v>0</v>
      </c>
      <c r="M483" s="3">
        <v>51</v>
      </c>
      <c r="N483" s="3" t="s">
        <v>123</v>
      </c>
      <c r="O483" s="3" t="s">
        <v>43</v>
      </c>
      <c r="P483" s="3" t="s">
        <v>73</v>
      </c>
      <c r="Q483" s="3">
        <v>28</v>
      </c>
      <c r="R483" s="3">
        <v>25418</v>
      </c>
      <c r="S483" s="3">
        <v>780</v>
      </c>
      <c r="T483" s="3" t="s">
        <v>45</v>
      </c>
      <c r="U483" s="3">
        <v>2</v>
      </c>
      <c r="V483" s="3">
        <v>124</v>
      </c>
      <c r="W483" s="5" t="str">
        <f t="shared" si="28"/>
        <v>750+</v>
      </c>
      <c r="X483" s="5" t="str">
        <f t="shared" si="29"/>
        <v>Manageable (36-50%)</v>
      </c>
      <c r="Y483" s="5" t="str">
        <f t="shared" si="30"/>
        <v>Employed</v>
      </c>
      <c r="Z483" s="3" t="str">
        <f t="shared" si="31"/>
        <v>Consumer &amp; Personal</v>
      </c>
    </row>
    <row r="484" spans="1:26" ht="17.399999999999999" x14ac:dyDescent="0.35">
      <c r="A484" s="3" t="s">
        <v>963</v>
      </c>
      <c r="B484" s="3" t="s">
        <v>964</v>
      </c>
      <c r="C484" s="4">
        <v>45387</v>
      </c>
      <c r="D484" s="3" t="s">
        <v>64</v>
      </c>
      <c r="E484" s="3">
        <v>12500</v>
      </c>
      <c r="F484" s="3">
        <v>24</v>
      </c>
      <c r="G484" s="3">
        <v>14.99</v>
      </c>
      <c r="H484" s="3">
        <v>606.02</v>
      </c>
      <c r="I484" s="3">
        <v>82</v>
      </c>
      <c r="J484" s="3" t="s">
        <v>32</v>
      </c>
      <c r="K484" s="3">
        <v>147</v>
      </c>
      <c r="L484" s="3">
        <v>1</v>
      </c>
      <c r="M484" s="3">
        <v>47</v>
      </c>
      <c r="N484" s="3" t="s">
        <v>262</v>
      </c>
      <c r="O484" s="3" t="s">
        <v>43</v>
      </c>
      <c r="P484" s="3" t="s">
        <v>73</v>
      </c>
      <c r="Q484" s="3">
        <v>25</v>
      </c>
      <c r="R484" s="3">
        <v>22335</v>
      </c>
      <c r="S484" s="3">
        <v>571</v>
      </c>
      <c r="T484" s="3" t="s">
        <v>45</v>
      </c>
      <c r="U484" s="3">
        <v>2</v>
      </c>
      <c r="V484" s="3">
        <v>921</v>
      </c>
      <c r="W484" s="5" t="str">
        <f t="shared" si="28"/>
        <v>520-599</v>
      </c>
      <c r="X484" s="5" t="str">
        <f t="shared" si="29"/>
        <v>Critical (&gt;75%)</v>
      </c>
      <c r="Y484" s="5" t="str">
        <f t="shared" si="30"/>
        <v>Employed</v>
      </c>
      <c r="Z484" s="3" t="str">
        <f t="shared" si="31"/>
        <v>Investment &amp; Growth</v>
      </c>
    </row>
    <row r="485" spans="1:26" ht="17.399999999999999" x14ac:dyDescent="0.35">
      <c r="A485" s="3" t="s">
        <v>965</v>
      </c>
      <c r="B485" s="3" t="s">
        <v>966</v>
      </c>
      <c r="C485" s="4">
        <v>45313</v>
      </c>
      <c r="D485" s="3" t="s">
        <v>56</v>
      </c>
      <c r="E485" s="3">
        <v>20000</v>
      </c>
      <c r="F485" s="3">
        <v>24</v>
      </c>
      <c r="G485" s="3">
        <v>11.22</v>
      </c>
      <c r="H485" s="3">
        <v>934.2</v>
      </c>
      <c r="I485" s="3">
        <v>48.3</v>
      </c>
      <c r="J485" s="3" t="s">
        <v>99</v>
      </c>
      <c r="K485" s="3">
        <v>15</v>
      </c>
      <c r="L485" s="3">
        <v>0</v>
      </c>
      <c r="M485" s="3">
        <v>57</v>
      </c>
      <c r="N485" s="3" t="s">
        <v>340</v>
      </c>
      <c r="O485" s="3" t="s">
        <v>79</v>
      </c>
      <c r="P485" s="3" t="s">
        <v>28</v>
      </c>
      <c r="Q485" s="3">
        <v>3</v>
      </c>
      <c r="R485" s="3">
        <v>73306</v>
      </c>
      <c r="S485" s="3">
        <v>721</v>
      </c>
      <c r="T485" s="3" t="s">
        <v>29</v>
      </c>
      <c r="U485" s="3">
        <v>1</v>
      </c>
      <c r="V485" s="3">
        <v>2016</v>
      </c>
      <c r="W485" s="5" t="str">
        <f t="shared" si="28"/>
        <v>700-749</v>
      </c>
      <c r="X485" s="5" t="str">
        <f t="shared" si="29"/>
        <v>Manageable (36-50%)</v>
      </c>
      <c r="Y485" s="5" t="str">
        <f t="shared" si="30"/>
        <v>Self-Employed</v>
      </c>
      <c r="Z485" s="3" t="str">
        <f t="shared" si="31"/>
        <v>Consumer &amp; Personal</v>
      </c>
    </row>
    <row r="486" spans="1:26" ht="17.399999999999999" x14ac:dyDescent="0.35">
      <c r="A486" s="3" t="s">
        <v>967</v>
      </c>
      <c r="B486" s="3" t="s">
        <v>968</v>
      </c>
      <c r="C486" s="4">
        <v>45704</v>
      </c>
      <c r="D486" s="3" t="s">
        <v>64</v>
      </c>
      <c r="E486" s="3">
        <v>3600</v>
      </c>
      <c r="F486" s="3">
        <v>24</v>
      </c>
      <c r="G486" s="3">
        <v>9.51</v>
      </c>
      <c r="H486" s="3">
        <v>165.31</v>
      </c>
      <c r="I486" s="3">
        <v>25.2</v>
      </c>
      <c r="J486" s="3" t="s">
        <v>25</v>
      </c>
      <c r="K486" s="3">
        <v>0</v>
      </c>
      <c r="L486" s="3">
        <v>0</v>
      </c>
      <c r="M486" s="3">
        <v>61</v>
      </c>
      <c r="N486" s="3" t="s">
        <v>135</v>
      </c>
      <c r="O486" s="3" t="s">
        <v>43</v>
      </c>
      <c r="P486" s="3" t="s">
        <v>28</v>
      </c>
      <c r="Q486" s="3">
        <v>7</v>
      </c>
      <c r="R486" s="3">
        <v>63778</v>
      </c>
      <c r="S486" s="3">
        <v>766</v>
      </c>
      <c r="T486" s="3" t="s">
        <v>38</v>
      </c>
      <c r="U486" s="3">
        <v>0</v>
      </c>
      <c r="V486" s="3">
        <v>1172</v>
      </c>
      <c r="W486" s="5" t="str">
        <f t="shared" si="28"/>
        <v>750+</v>
      </c>
      <c r="X486" s="5" t="str">
        <f t="shared" si="29"/>
        <v>Low (&lt;=35%)</v>
      </c>
      <c r="Y486" s="5" t="str">
        <f t="shared" si="30"/>
        <v>Self-Employed</v>
      </c>
      <c r="Z486" s="3" t="str">
        <f t="shared" si="31"/>
        <v>Investment &amp; Growth</v>
      </c>
    </row>
    <row r="487" spans="1:26" ht="17.399999999999999" x14ac:dyDescent="0.35">
      <c r="A487" s="3" t="s">
        <v>969</v>
      </c>
      <c r="B487" s="3" t="s">
        <v>970</v>
      </c>
      <c r="C487" s="4">
        <v>45336</v>
      </c>
      <c r="D487" s="3" t="s">
        <v>77</v>
      </c>
      <c r="E487" s="3">
        <v>20400</v>
      </c>
      <c r="F487" s="3">
        <v>12</v>
      </c>
      <c r="G487" s="3">
        <v>14.07</v>
      </c>
      <c r="H487" s="3">
        <v>1832.33</v>
      </c>
      <c r="I487" s="3">
        <v>59</v>
      </c>
      <c r="J487" s="3" t="s">
        <v>32</v>
      </c>
      <c r="K487" s="3">
        <v>51</v>
      </c>
      <c r="L487" s="3">
        <v>1</v>
      </c>
      <c r="M487" s="3">
        <v>62</v>
      </c>
      <c r="N487" s="3" t="s">
        <v>123</v>
      </c>
      <c r="O487" s="3" t="s">
        <v>58</v>
      </c>
      <c r="P487" s="3" t="s">
        <v>37</v>
      </c>
      <c r="Q487" s="3">
        <v>2</v>
      </c>
      <c r="R487" s="3">
        <v>121047</v>
      </c>
      <c r="S487" s="3">
        <v>604</v>
      </c>
      <c r="T487" s="3" t="s">
        <v>29</v>
      </c>
      <c r="U487" s="3">
        <v>0</v>
      </c>
      <c r="V487" s="3">
        <v>4119</v>
      </c>
      <c r="W487" s="5" t="str">
        <f t="shared" si="28"/>
        <v>600-649</v>
      </c>
      <c r="X487" s="5" t="str">
        <f t="shared" si="29"/>
        <v>High (51-75%)</v>
      </c>
      <c r="Y487" s="5" t="str">
        <f t="shared" si="30"/>
        <v>Employed</v>
      </c>
      <c r="Z487" s="3" t="str">
        <f t="shared" si="31"/>
        <v>Consumer &amp; Personal</v>
      </c>
    </row>
    <row r="488" spans="1:26" ht="17.399999999999999" x14ac:dyDescent="0.35">
      <c r="A488" s="3" t="s">
        <v>971</v>
      </c>
      <c r="B488" s="3" t="s">
        <v>970</v>
      </c>
      <c r="C488" s="4">
        <v>45301</v>
      </c>
      <c r="D488" s="3" t="s">
        <v>41</v>
      </c>
      <c r="E488" s="3">
        <v>32100</v>
      </c>
      <c r="F488" s="3">
        <v>12</v>
      </c>
      <c r="G488" s="3">
        <v>13.9</v>
      </c>
      <c r="H488" s="3">
        <v>2880.66</v>
      </c>
      <c r="I488" s="3">
        <v>69.400000000000006</v>
      </c>
      <c r="J488" s="3" t="s">
        <v>25</v>
      </c>
      <c r="K488" s="3">
        <v>0</v>
      </c>
      <c r="L488" s="3">
        <v>0</v>
      </c>
      <c r="M488" s="3">
        <v>62</v>
      </c>
      <c r="N488" s="3" t="s">
        <v>123</v>
      </c>
      <c r="O488" s="3" t="s">
        <v>58</v>
      </c>
      <c r="P488" s="3" t="s">
        <v>37</v>
      </c>
      <c r="Q488" s="3">
        <v>2</v>
      </c>
      <c r="R488" s="3">
        <v>121047</v>
      </c>
      <c r="S488" s="3">
        <v>604</v>
      </c>
      <c r="T488" s="3" t="s">
        <v>29</v>
      </c>
      <c r="U488" s="3">
        <v>0</v>
      </c>
      <c r="V488" s="3">
        <v>4119</v>
      </c>
      <c r="W488" s="5" t="str">
        <f t="shared" si="28"/>
        <v>600-649</v>
      </c>
      <c r="X488" s="5" t="str">
        <f t="shared" si="29"/>
        <v>High (51-75%)</v>
      </c>
      <c r="Y488" s="5" t="str">
        <f t="shared" si="30"/>
        <v>Employed</v>
      </c>
      <c r="Z488" s="3" t="str">
        <f t="shared" si="31"/>
        <v>Debt &amp; Assets</v>
      </c>
    </row>
    <row r="489" spans="1:26" ht="17.399999999999999" x14ac:dyDescent="0.35">
      <c r="A489" s="3" t="s">
        <v>972</v>
      </c>
      <c r="B489" s="3" t="s">
        <v>973</v>
      </c>
      <c r="C489" s="4">
        <v>45459</v>
      </c>
      <c r="D489" s="3" t="s">
        <v>61</v>
      </c>
      <c r="E489" s="3">
        <v>14900</v>
      </c>
      <c r="F489" s="3">
        <v>60</v>
      </c>
      <c r="G489" s="3">
        <v>14.61</v>
      </c>
      <c r="H489" s="3">
        <v>351.43</v>
      </c>
      <c r="I489" s="3">
        <v>48.8</v>
      </c>
      <c r="J489" s="3" t="s">
        <v>32</v>
      </c>
      <c r="K489" s="3">
        <v>152</v>
      </c>
      <c r="L489" s="3">
        <v>1</v>
      </c>
      <c r="M489" s="3">
        <v>68</v>
      </c>
      <c r="N489" s="3" t="s">
        <v>57</v>
      </c>
      <c r="O489" s="3" t="s">
        <v>43</v>
      </c>
      <c r="P489" s="3" t="s">
        <v>37</v>
      </c>
      <c r="Q489" s="3">
        <v>25</v>
      </c>
      <c r="R489" s="3">
        <v>53099</v>
      </c>
      <c r="S489" s="3">
        <v>591</v>
      </c>
      <c r="T489" s="3" t="s">
        <v>38</v>
      </c>
      <c r="U489" s="3">
        <v>2</v>
      </c>
      <c r="V489" s="3">
        <v>1807</v>
      </c>
      <c r="W489" s="5" t="str">
        <f t="shared" si="28"/>
        <v>520-599</v>
      </c>
      <c r="X489" s="5" t="str">
        <f t="shared" si="29"/>
        <v>Manageable (36-50%)</v>
      </c>
      <c r="Y489" s="5" t="str">
        <f t="shared" si="30"/>
        <v>Employed</v>
      </c>
      <c r="Z489" s="3" t="str">
        <f t="shared" si="31"/>
        <v>Investment &amp; Growth</v>
      </c>
    </row>
    <row r="490" spans="1:26" ht="17.399999999999999" x14ac:dyDescent="0.35">
      <c r="A490" s="3" t="s">
        <v>974</v>
      </c>
      <c r="B490" s="3" t="s">
        <v>975</v>
      </c>
      <c r="C490" s="4">
        <v>45337</v>
      </c>
      <c r="D490" s="3" t="s">
        <v>67</v>
      </c>
      <c r="E490" s="3">
        <v>14800</v>
      </c>
      <c r="F490" s="3">
        <v>60</v>
      </c>
      <c r="G490" s="3">
        <v>6.52</v>
      </c>
      <c r="H490" s="3">
        <v>289.72000000000003</v>
      </c>
      <c r="I490" s="3">
        <v>37.6</v>
      </c>
      <c r="J490" s="3" t="s">
        <v>32</v>
      </c>
      <c r="K490" s="3">
        <v>105</v>
      </c>
      <c r="L490" s="3">
        <v>1</v>
      </c>
      <c r="M490" s="3">
        <v>28</v>
      </c>
      <c r="N490" s="3" t="s">
        <v>105</v>
      </c>
      <c r="O490" s="3" t="s">
        <v>72</v>
      </c>
      <c r="P490" s="3" t="s">
        <v>37</v>
      </c>
      <c r="Q490" s="3">
        <v>1</v>
      </c>
      <c r="R490" s="3">
        <v>108932</v>
      </c>
      <c r="S490" s="3">
        <v>846</v>
      </c>
      <c r="T490" s="3" t="s">
        <v>29</v>
      </c>
      <c r="U490" s="3">
        <v>1</v>
      </c>
      <c r="V490" s="3">
        <v>3128</v>
      </c>
      <c r="W490" s="5" t="str">
        <f t="shared" si="28"/>
        <v>750+</v>
      </c>
      <c r="X490" s="5" t="str">
        <f t="shared" si="29"/>
        <v>Manageable (36-50%)</v>
      </c>
      <c r="Y490" s="5" t="str">
        <f t="shared" si="30"/>
        <v>Employed</v>
      </c>
      <c r="Z490" s="3" t="str">
        <f t="shared" si="31"/>
        <v>Debt &amp; Assets</v>
      </c>
    </row>
    <row r="491" spans="1:26" ht="17.399999999999999" x14ac:dyDescent="0.35">
      <c r="A491" s="3" t="s">
        <v>976</v>
      </c>
      <c r="B491" s="3" t="s">
        <v>977</v>
      </c>
      <c r="C491" s="4">
        <v>45686</v>
      </c>
      <c r="D491" s="3" t="s">
        <v>31</v>
      </c>
      <c r="E491" s="3">
        <v>17800</v>
      </c>
      <c r="F491" s="3">
        <v>12</v>
      </c>
      <c r="G491" s="3">
        <v>11.9</v>
      </c>
      <c r="H491" s="3">
        <v>1580.68</v>
      </c>
      <c r="I491" s="3">
        <v>90.2</v>
      </c>
      <c r="J491" s="3" t="s">
        <v>32</v>
      </c>
      <c r="K491" s="3">
        <v>103</v>
      </c>
      <c r="L491" s="3">
        <v>1</v>
      </c>
      <c r="M491" s="3">
        <v>54</v>
      </c>
      <c r="N491" s="3" t="s">
        <v>123</v>
      </c>
      <c r="O491" s="3" t="s">
        <v>27</v>
      </c>
      <c r="P491" s="3" t="s">
        <v>37</v>
      </c>
      <c r="Q491" s="3">
        <v>27</v>
      </c>
      <c r="R491" s="3">
        <v>41068</v>
      </c>
      <c r="S491" s="3">
        <v>554</v>
      </c>
      <c r="T491" s="3" t="s">
        <v>29</v>
      </c>
      <c r="U491" s="3">
        <v>3</v>
      </c>
      <c r="V491" s="3">
        <v>1507</v>
      </c>
      <c r="W491" s="5" t="str">
        <f t="shared" si="28"/>
        <v>520-599</v>
      </c>
      <c r="X491" s="5" t="str">
        <f t="shared" si="29"/>
        <v>Critical (&gt;75%)</v>
      </c>
      <c r="Y491" s="5" t="str">
        <f t="shared" si="30"/>
        <v>Employed</v>
      </c>
      <c r="Z491" s="3" t="str">
        <f t="shared" si="31"/>
        <v>Debt &amp; Assets</v>
      </c>
    </row>
    <row r="492" spans="1:26" ht="17.399999999999999" x14ac:dyDescent="0.35">
      <c r="A492" s="3" t="s">
        <v>978</v>
      </c>
      <c r="B492" s="3" t="s">
        <v>979</v>
      </c>
      <c r="C492" s="4">
        <v>45404</v>
      </c>
      <c r="D492" s="3" t="s">
        <v>31</v>
      </c>
      <c r="E492" s="3">
        <v>36300</v>
      </c>
      <c r="F492" s="3">
        <v>12</v>
      </c>
      <c r="G492" s="3">
        <v>12.58</v>
      </c>
      <c r="H492" s="3">
        <v>3235.07</v>
      </c>
      <c r="I492" s="3">
        <v>72.099999999999994</v>
      </c>
      <c r="J492" s="3" t="s">
        <v>32</v>
      </c>
      <c r="K492" s="3">
        <v>102</v>
      </c>
      <c r="L492" s="3">
        <v>1</v>
      </c>
      <c r="M492" s="3">
        <v>33</v>
      </c>
      <c r="N492" s="3" t="s">
        <v>262</v>
      </c>
      <c r="O492" s="3" t="s">
        <v>43</v>
      </c>
      <c r="P492" s="3" t="s">
        <v>37</v>
      </c>
      <c r="Q492" s="3">
        <v>6</v>
      </c>
      <c r="R492" s="3">
        <v>92612</v>
      </c>
      <c r="S492" s="3">
        <v>593</v>
      </c>
      <c r="T492" s="3" t="s">
        <v>29</v>
      </c>
      <c r="U492" s="3">
        <v>3</v>
      </c>
      <c r="V492" s="3">
        <v>2331</v>
      </c>
      <c r="W492" s="5" t="str">
        <f t="shared" si="28"/>
        <v>520-599</v>
      </c>
      <c r="X492" s="5" t="str">
        <f t="shared" si="29"/>
        <v>High (51-75%)</v>
      </c>
      <c r="Y492" s="5" t="str">
        <f t="shared" si="30"/>
        <v>Employed</v>
      </c>
      <c r="Z492" s="3" t="str">
        <f t="shared" si="31"/>
        <v>Debt &amp; Assets</v>
      </c>
    </row>
    <row r="493" spans="1:26" ht="17.399999999999999" x14ac:dyDescent="0.35">
      <c r="A493" s="3" t="s">
        <v>980</v>
      </c>
      <c r="B493" s="3" t="s">
        <v>981</v>
      </c>
      <c r="C493" s="4">
        <v>45446</v>
      </c>
      <c r="D493" s="3" t="s">
        <v>77</v>
      </c>
      <c r="E493" s="3">
        <v>13100</v>
      </c>
      <c r="F493" s="3">
        <v>12</v>
      </c>
      <c r="G493" s="3">
        <v>13.53</v>
      </c>
      <c r="H493" s="3">
        <v>1173.32</v>
      </c>
      <c r="I493" s="3">
        <v>57.8</v>
      </c>
      <c r="J493" s="3" t="s">
        <v>32</v>
      </c>
      <c r="K493" s="3">
        <v>165</v>
      </c>
      <c r="L493" s="3">
        <v>1</v>
      </c>
      <c r="M493" s="3">
        <v>46</v>
      </c>
      <c r="N493" s="3" t="s">
        <v>128</v>
      </c>
      <c r="O493" s="3" t="s">
        <v>43</v>
      </c>
      <c r="P493" s="3" t="s">
        <v>73</v>
      </c>
      <c r="Q493" s="3">
        <v>8</v>
      </c>
      <c r="R493" s="3">
        <v>46630</v>
      </c>
      <c r="S493" s="3">
        <v>657</v>
      </c>
      <c r="T493" s="3" t="s">
        <v>45</v>
      </c>
      <c r="U493" s="3">
        <v>4</v>
      </c>
      <c r="V493" s="3">
        <v>1074</v>
      </c>
      <c r="W493" s="5" t="str">
        <f t="shared" si="28"/>
        <v>650-699</v>
      </c>
      <c r="X493" s="5" t="str">
        <f t="shared" si="29"/>
        <v>High (51-75%)</v>
      </c>
      <c r="Y493" s="5" t="str">
        <f t="shared" si="30"/>
        <v>Employed</v>
      </c>
      <c r="Z493" s="3" t="str">
        <f t="shared" si="31"/>
        <v>Consumer &amp; Personal</v>
      </c>
    </row>
    <row r="494" spans="1:26" ht="17.399999999999999" x14ac:dyDescent="0.35">
      <c r="A494" s="3" t="s">
        <v>982</v>
      </c>
      <c r="B494" s="3" t="s">
        <v>983</v>
      </c>
      <c r="C494" s="4">
        <v>45585</v>
      </c>
      <c r="D494" s="3" t="s">
        <v>56</v>
      </c>
      <c r="E494" s="3">
        <v>6600</v>
      </c>
      <c r="F494" s="3">
        <v>36</v>
      </c>
      <c r="G494" s="3">
        <v>10.01</v>
      </c>
      <c r="H494" s="3">
        <v>212.99</v>
      </c>
      <c r="I494" s="3">
        <v>49.3</v>
      </c>
      <c r="J494" s="3" t="s">
        <v>25</v>
      </c>
      <c r="K494" s="3">
        <v>0</v>
      </c>
      <c r="L494" s="3">
        <v>0</v>
      </c>
      <c r="M494" s="3">
        <v>30</v>
      </c>
      <c r="N494" s="3" t="s">
        <v>119</v>
      </c>
      <c r="O494" s="3" t="s">
        <v>27</v>
      </c>
      <c r="P494" s="3" t="s">
        <v>73</v>
      </c>
      <c r="Q494" s="3">
        <v>4</v>
      </c>
      <c r="R494" s="3">
        <v>29481</v>
      </c>
      <c r="S494" s="3">
        <v>787</v>
      </c>
      <c r="T494" s="3" t="s">
        <v>29</v>
      </c>
      <c r="U494" s="3">
        <v>3</v>
      </c>
      <c r="V494" s="3">
        <v>997</v>
      </c>
      <c r="W494" s="5" t="str">
        <f t="shared" si="28"/>
        <v>750+</v>
      </c>
      <c r="X494" s="5" t="str">
        <f t="shared" si="29"/>
        <v>Manageable (36-50%)</v>
      </c>
      <c r="Y494" s="5" t="str">
        <f t="shared" si="30"/>
        <v>Employed</v>
      </c>
      <c r="Z494" s="3" t="str">
        <f t="shared" si="31"/>
        <v>Consumer &amp; Personal</v>
      </c>
    </row>
    <row r="495" spans="1:26" ht="17.399999999999999" x14ac:dyDescent="0.35">
      <c r="A495" s="3" t="s">
        <v>984</v>
      </c>
      <c r="B495" s="3" t="s">
        <v>985</v>
      </c>
      <c r="C495" s="4">
        <v>45444</v>
      </c>
      <c r="D495" s="3" t="s">
        <v>41</v>
      </c>
      <c r="E495" s="3">
        <v>36100</v>
      </c>
      <c r="F495" s="3">
        <v>12</v>
      </c>
      <c r="G495" s="3">
        <v>12.48</v>
      </c>
      <c r="H495" s="3">
        <v>3215.55</v>
      </c>
      <c r="I495" s="3">
        <v>85.5</v>
      </c>
      <c r="J495" s="3" t="s">
        <v>48</v>
      </c>
      <c r="K495" s="3">
        <v>0</v>
      </c>
      <c r="L495" s="3">
        <v>0</v>
      </c>
      <c r="M495" s="3">
        <v>57</v>
      </c>
      <c r="N495" s="3" t="s">
        <v>203</v>
      </c>
      <c r="O495" s="3" t="s">
        <v>43</v>
      </c>
      <c r="P495" s="3" t="s">
        <v>37</v>
      </c>
      <c r="Q495" s="3">
        <v>22</v>
      </c>
      <c r="R495" s="3">
        <v>80421</v>
      </c>
      <c r="S495" s="3">
        <v>688</v>
      </c>
      <c r="T495" s="3" t="s">
        <v>29</v>
      </c>
      <c r="U495" s="3">
        <v>4</v>
      </c>
      <c r="V495" s="3">
        <v>2513</v>
      </c>
      <c r="W495" s="5" t="str">
        <f t="shared" si="28"/>
        <v>650-699</v>
      </c>
      <c r="X495" s="5" t="str">
        <f t="shared" si="29"/>
        <v>Critical (&gt;75%)</v>
      </c>
      <c r="Y495" s="5" t="str">
        <f t="shared" si="30"/>
        <v>Employed</v>
      </c>
      <c r="Z495" s="3" t="str">
        <f t="shared" si="31"/>
        <v>Debt &amp; Assets</v>
      </c>
    </row>
    <row r="496" spans="1:26" ht="17.399999999999999" x14ac:dyDescent="0.35">
      <c r="A496" s="3" t="s">
        <v>986</v>
      </c>
      <c r="B496" s="3" t="s">
        <v>987</v>
      </c>
      <c r="C496" s="4">
        <v>45577</v>
      </c>
      <c r="D496" s="3" t="s">
        <v>24</v>
      </c>
      <c r="E496" s="3">
        <v>7400</v>
      </c>
      <c r="F496" s="3">
        <v>48</v>
      </c>
      <c r="G496" s="3">
        <v>14.9</v>
      </c>
      <c r="H496" s="3">
        <v>205.57</v>
      </c>
      <c r="I496" s="3">
        <v>56.2</v>
      </c>
      <c r="J496" s="3" t="s">
        <v>32</v>
      </c>
      <c r="K496" s="3">
        <v>112</v>
      </c>
      <c r="L496" s="3">
        <v>1</v>
      </c>
      <c r="M496" s="3">
        <v>33</v>
      </c>
      <c r="N496" s="3" t="s">
        <v>123</v>
      </c>
      <c r="O496" s="3" t="s">
        <v>43</v>
      </c>
      <c r="P496" s="3" t="s">
        <v>28</v>
      </c>
      <c r="Q496" s="3">
        <v>12</v>
      </c>
      <c r="R496" s="3">
        <v>61167</v>
      </c>
      <c r="S496" s="3">
        <v>594</v>
      </c>
      <c r="T496" s="3" t="s">
        <v>45</v>
      </c>
      <c r="U496" s="3">
        <v>2</v>
      </c>
      <c r="V496" s="3">
        <v>2657</v>
      </c>
      <c r="W496" s="5" t="str">
        <f t="shared" si="28"/>
        <v>520-599</v>
      </c>
      <c r="X496" s="5" t="str">
        <f t="shared" si="29"/>
        <v>High (51-75%)</v>
      </c>
      <c r="Y496" s="5" t="str">
        <f t="shared" si="30"/>
        <v>Self-Employed</v>
      </c>
      <c r="Z496" s="3" t="str">
        <f t="shared" si="31"/>
        <v>Consumer &amp; Personal</v>
      </c>
    </row>
    <row r="497" spans="1:26" ht="17.399999999999999" x14ac:dyDescent="0.35">
      <c r="A497" s="3" t="s">
        <v>988</v>
      </c>
      <c r="B497" s="3" t="s">
        <v>989</v>
      </c>
      <c r="C497" s="4">
        <v>45715</v>
      </c>
      <c r="D497" s="3" t="s">
        <v>56</v>
      </c>
      <c r="E497" s="3">
        <v>18900</v>
      </c>
      <c r="F497" s="3">
        <v>48</v>
      </c>
      <c r="G497" s="3">
        <v>10.69</v>
      </c>
      <c r="H497" s="3">
        <v>485.64</v>
      </c>
      <c r="I497" s="3">
        <v>30.2</v>
      </c>
      <c r="J497" s="3" t="s">
        <v>48</v>
      </c>
      <c r="K497" s="3">
        <v>0</v>
      </c>
      <c r="L497" s="3">
        <v>0</v>
      </c>
      <c r="M497" s="3">
        <v>67</v>
      </c>
      <c r="N497" s="3" t="s">
        <v>93</v>
      </c>
      <c r="O497" s="3" t="s">
        <v>43</v>
      </c>
      <c r="P497" s="3" t="s">
        <v>28</v>
      </c>
      <c r="Q497" s="3">
        <v>27</v>
      </c>
      <c r="R497" s="3">
        <v>94280</v>
      </c>
      <c r="S497" s="3">
        <v>686</v>
      </c>
      <c r="T497" s="3" t="s">
        <v>29</v>
      </c>
      <c r="U497" s="3">
        <v>0</v>
      </c>
      <c r="V497" s="3">
        <v>1889</v>
      </c>
      <c r="W497" s="5" t="str">
        <f t="shared" si="28"/>
        <v>650-699</v>
      </c>
      <c r="X497" s="5" t="str">
        <f t="shared" si="29"/>
        <v>Low (&lt;=35%)</v>
      </c>
      <c r="Y497" s="5" t="str">
        <f t="shared" si="30"/>
        <v>Self-Employed</v>
      </c>
      <c r="Z497" s="3" t="str">
        <f t="shared" si="31"/>
        <v>Consumer &amp; Personal</v>
      </c>
    </row>
    <row r="498" spans="1:26" ht="17.399999999999999" x14ac:dyDescent="0.35">
      <c r="A498" s="3" t="s">
        <v>990</v>
      </c>
      <c r="B498" s="3" t="s">
        <v>989</v>
      </c>
      <c r="C498" s="4">
        <v>45837</v>
      </c>
      <c r="D498" s="3" t="s">
        <v>64</v>
      </c>
      <c r="E498" s="3">
        <v>28400</v>
      </c>
      <c r="F498" s="3">
        <v>60</v>
      </c>
      <c r="G498" s="3">
        <v>11.24</v>
      </c>
      <c r="H498" s="3">
        <v>620.89</v>
      </c>
      <c r="I498" s="3">
        <v>31.9</v>
      </c>
      <c r="J498" s="3" t="s">
        <v>48</v>
      </c>
      <c r="K498" s="3">
        <v>0</v>
      </c>
      <c r="L498" s="3">
        <v>0</v>
      </c>
      <c r="M498" s="3">
        <v>67</v>
      </c>
      <c r="N498" s="3" t="s">
        <v>93</v>
      </c>
      <c r="O498" s="3" t="s">
        <v>43</v>
      </c>
      <c r="P498" s="3" t="s">
        <v>28</v>
      </c>
      <c r="Q498" s="3">
        <v>27</v>
      </c>
      <c r="R498" s="3">
        <v>94280</v>
      </c>
      <c r="S498" s="3">
        <v>686</v>
      </c>
      <c r="T498" s="3" t="s">
        <v>29</v>
      </c>
      <c r="U498" s="3">
        <v>0</v>
      </c>
      <c r="V498" s="3">
        <v>1889</v>
      </c>
      <c r="W498" s="5" t="str">
        <f t="shared" si="28"/>
        <v>650-699</v>
      </c>
      <c r="X498" s="5" t="str">
        <f t="shared" si="29"/>
        <v>Low (&lt;=35%)</v>
      </c>
      <c r="Y498" s="5" t="str">
        <f t="shared" si="30"/>
        <v>Self-Employed</v>
      </c>
      <c r="Z498" s="3" t="str">
        <f t="shared" si="31"/>
        <v>Investment &amp; Growth</v>
      </c>
    </row>
    <row r="499" spans="1:26" ht="17.399999999999999" x14ac:dyDescent="0.35">
      <c r="A499" s="3" t="s">
        <v>991</v>
      </c>
      <c r="B499" s="3" t="s">
        <v>992</v>
      </c>
      <c r="C499" s="4">
        <v>45532</v>
      </c>
      <c r="D499" s="3" t="s">
        <v>35</v>
      </c>
      <c r="E499" s="3">
        <v>35300</v>
      </c>
      <c r="F499" s="3">
        <v>24</v>
      </c>
      <c r="G499" s="3">
        <v>13.15</v>
      </c>
      <c r="H499" s="3">
        <v>1680.71</v>
      </c>
      <c r="I499" s="3">
        <v>62.3</v>
      </c>
      <c r="J499" s="3" t="s">
        <v>25</v>
      </c>
      <c r="K499" s="3">
        <v>0</v>
      </c>
      <c r="L499" s="3">
        <v>0</v>
      </c>
      <c r="M499" s="3">
        <v>25</v>
      </c>
      <c r="N499" s="3" t="s">
        <v>203</v>
      </c>
      <c r="O499" s="3" t="s">
        <v>43</v>
      </c>
      <c r="P499" s="3" t="s">
        <v>37</v>
      </c>
      <c r="Q499" s="3">
        <v>2</v>
      </c>
      <c r="R499" s="3">
        <v>88461</v>
      </c>
      <c r="S499" s="3">
        <v>622</v>
      </c>
      <c r="T499" s="3" t="s">
        <v>29</v>
      </c>
      <c r="U499" s="3">
        <v>3</v>
      </c>
      <c r="V499" s="3">
        <v>2914</v>
      </c>
      <c r="W499" s="5" t="str">
        <f t="shared" si="28"/>
        <v>600-649</v>
      </c>
      <c r="X499" s="5" t="str">
        <f t="shared" si="29"/>
        <v>High (51-75%)</v>
      </c>
      <c r="Y499" s="5" t="str">
        <f t="shared" si="30"/>
        <v>Employed</v>
      </c>
      <c r="Z499" s="3" t="str">
        <f t="shared" si="31"/>
        <v>Consumer &amp; Personal</v>
      </c>
    </row>
    <row r="500" spans="1:26" ht="17.399999999999999" x14ac:dyDescent="0.35">
      <c r="A500" s="3" t="s">
        <v>993</v>
      </c>
      <c r="B500" s="3" t="s">
        <v>994</v>
      </c>
      <c r="C500" s="4">
        <v>45661</v>
      </c>
      <c r="D500" s="3" t="s">
        <v>24</v>
      </c>
      <c r="E500" s="3">
        <v>46200</v>
      </c>
      <c r="F500" s="3">
        <v>12</v>
      </c>
      <c r="G500" s="3">
        <v>11.87</v>
      </c>
      <c r="H500" s="3">
        <v>4102</v>
      </c>
      <c r="I500" s="3">
        <v>155.30000000000001</v>
      </c>
      <c r="J500" s="3" t="s">
        <v>99</v>
      </c>
      <c r="K500" s="3">
        <v>15</v>
      </c>
      <c r="L500" s="3">
        <v>0</v>
      </c>
      <c r="M500" s="3">
        <v>40</v>
      </c>
      <c r="N500" s="3" t="s">
        <v>135</v>
      </c>
      <c r="O500" s="3" t="s">
        <v>79</v>
      </c>
      <c r="P500" s="3" t="s">
        <v>37</v>
      </c>
      <c r="Q500" s="3">
        <v>3</v>
      </c>
      <c r="R500" s="3">
        <v>45971</v>
      </c>
      <c r="S500" s="3">
        <v>761</v>
      </c>
      <c r="T500" s="3" t="s">
        <v>45</v>
      </c>
      <c r="U500" s="3">
        <v>2</v>
      </c>
      <c r="V500" s="3">
        <v>1848</v>
      </c>
      <c r="W500" s="5" t="str">
        <f t="shared" si="28"/>
        <v>750+</v>
      </c>
      <c r="X500" s="5" t="str">
        <f t="shared" si="29"/>
        <v>Critical (&gt;75%)</v>
      </c>
      <c r="Y500" s="5" t="str">
        <f t="shared" si="30"/>
        <v>Employed</v>
      </c>
      <c r="Z500" s="3" t="str">
        <f t="shared" si="31"/>
        <v>Consumer &amp; Personal</v>
      </c>
    </row>
    <row r="501" spans="1:26" ht="17.399999999999999" x14ac:dyDescent="0.35">
      <c r="A501" s="3" t="s">
        <v>995</v>
      </c>
      <c r="B501" s="3" t="s">
        <v>996</v>
      </c>
      <c r="C501" s="4">
        <v>45521</v>
      </c>
      <c r="D501" s="3" t="s">
        <v>56</v>
      </c>
      <c r="E501" s="3">
        <v>28500</v>
      </c>
      <c r="F501" s="3">
        <v>48</v>
      </c>
      <c r="G501" s="3">
        <v>9.76</v>
      </c>
      <c r="H501" s="3">
        <v>719.55</v>
      </c>
      <c r="I501" s="3">
        <v>53.9</v>
      </c>
      <c r="J501" s="3" t="s">
        <v>32</v>
      </c>
      <c r="K501" s="3">
        <v>65</v>
      </c>
      <c r="L501" s="3">
        <v>1</v>
      </c>
      <c r="M501" s="3">
        <v>63</v>
      </c>
      <c r="N501" s="3" t="s">
        <v>78</v>
      </c>
      <c r="O501" s="3" t="s">
        <v>43</v>
      </c>
      <c r="P501" s="3" t="s">
        <v>37</v>
      </c>
      <c r="Q501" s="3">
        <v>3</v>
      </c>
      <c r="R501" s="3">
        <v>90638</v>
      </c>
      <c r="S501" s="3">
        <v>687</v>
      </c>
      <c r="T501" s="3" t="s">
        <v>29</v>
      </c>
      <c r="U501" s="3">
        <v>1</v>
      </c>
      <c r="V501" s="3">
        <v>3354</v>
      </c>
      <c r="W501" s="5" t="str">
        <f t="shared" si="28"/>
        <v>650-699</v>
      </c>
      <c r="X501" s="5" t="str">
        <f t="shared" si="29"/>
        <v>High (51-75%)</v>
      </c>
      <c r="Y501" s="5" t="str">
        <f t="shared" si="30"/>
        <v>Employed</v>
      </c>
      <c r="Z501" s="3" t="str">
        <f t="shared" si="31"/>
        <v>Consumer &amp; Personal</v>
      </c>
    </row>
    <row r="502" spans="1:26" ht="17.399999999999999" x14ac:dyDescent="0.35">
      <c r="A502" s="3" t="s">
        <v>997</v>
      </c>
      <c r="B502" s="3" t="s">
        <v>998</v>
      </c>
      <c r="C502" s="4">
        <v>45400</v>
      </c>
      <c r="D502" s="3" t="s">
        <v>56</v>
      </c>
      <c r="E502" s="3">
        <v>2300</v>
      </c>
      <c r="F502" s="3">
        <v>48</v>
      </c>
      <c r="G502" s="3">
        <v>11.06</v>
      </c>
      <c r="H502" s="3">
        <v>59.51</v>
      </c>
      <c r="I502" s="3">
        <v>31.5</v>
      </c>
      <c r="J502" s="3" t="s">
        <v>25</v>
      </c>
      <c r="K502" s="3">
        <v>0</v>
      </c>
      <c r="L502" s="3">
        <v>0</v>
      </c>
      <c r="M502" s="3">
        <v>65</v>
      </c>
      <c r="N502" s="3" t="s">
        <v>179</v>
      </c>
      <c r="O502" s="3" t="s">
        <v>79</v>
      </c>
      <c r="P502" s="3" t="s">
        <v>73</v>
      </c>
      <c r="Q502" s="3">
        <v>12</v>
      </c>
      <c r="R502" s="3">
        <v>16498</v>
      </c>
      <c r="S502" s="3">
        <v>648</v>
      </c>
      <c r="T502" s="3" t="s">
        <v>45</v>
      </c>
      <c r="U502" s="3">
        <v>3</v>
      </c>
      <c r="V502" s="3">
        <v>373</v>
      </c>
      <c r="W502" s="5" t="str">
        <f t="shared" si="28"/>
        <v>600-649</v>
      </c>
      <c r="X502" s="5" t="str">
        <f t="shared" si="29"/>
        <v>Low (&lt;=35%)</v>
      </c>
      <c r="Y502" s="5" t="str">
        <f t="shared" si="30"/>
        <v>Employed</v>
      </c>
      <c r="Z502" s="3" t="str">
        <f t="shared" si="31"/>
        <v>Consumer &amp; Personal</v>
      </c>
    </row>
    <row r="503" spans="1:26" ht="17.399999999999999" x14ac:dyDescent="0.35">
      <c r="A503" s="3" t="s">
        <v>999</v>
      </c>
      <c r="B503" s="3" t="s">
        <v>1000</v>
      </c>
      <c r="C503" s="4">
        <v>45718</v>
      </c>
      <c r="D503" s="3" t="s">
        <v>67</v>
      </c>
      <c r="E503" s="3">
        <v>8800</v>
      </c>
      <c r="F503" s="3">
        <v>24</v>
      </c>
      <c r="G503" s="3">
        <v>6.29</v>
      </c>
      <c r="H503" s="3">
        <v>391.17</v>
      </c>
      <c r="I503" s="3">
        <v>18.100000000000001</v>
      </c>
      <c r="J503" s="3" t="s">
        <v>25</v>
      </c>
      <c r="K503" s="3">
        <v>0</v>
      </c>
      <c r="L503" s="3">
        <v>0</v>
      </c>
      <c r="M503" s="3">
        <v>36</v>
      </c>
      <c r="N503" s="3" t="s">
        <v>115</v>
      </c>
      <c r="O503" s="3" t="s">
        <v>72</v>
      </c>
      <c r="P503" s="3" t="s">
        <v>28</v>
      </c>
      <c r="Q503" s="3">
        <v>6</v>
      </c>
      <c r="R503" s="3">
        <v>110166</v>
      </c>
      <c r="S503" s="3">
        <v>846</v>
      </c>
      <c r="T503" s="3" t="s">
        <v>29</v>
      </c>
      <c r="U503" s="3">
        <v>0</v>
      </c>
      <c r="V503" s="3">
        <v>1273</v>
      </c>
      <c r="W503" s="5" t="str">
        <f t="shared" si="28"/>
        <v>750+</v>
      </c>
      <c r="X503" s="5" t="str">
        <f t="shared" si="29"/>
        <v>Low (&lt;=35%)</v>
      </c>
      <c r="Y503" s="5" t="str">
        <f t="shared" si="30"/>
        <v>Self-Employed</v>
      </c>
      <c r="Z503" s="3" t="str">
        <f t="shared" si="31"/>
        <v>Debt &amp; Assets</v>
      </c>
    </row>
    <row r="504" spans="1:26" ht="17.399999999999999" x14ac:dyDescent="0.35">
      <c r="A504" s="3" t="s">
        <v>1001</v>
      </c>
      <c r="B504" s="3" t="s">
        <v>1000</v>
      </c>
      <c r="C504" s="4">
        <v>45746</v>
      </c>
      <c r="D504" s="3" t="s">
        <v>35</v>
      </c>
      <c r="E504" s="3">
        <v>16400</v>
      </c>
      <c r="F504" s="3">
        <v>48</v>
      </c>
      <c r="G504" s="3">
        <v>9.51</v>
      </c>
      <c r="H504" s="3">
        <v>412.1</v>
      </c>
      <c r="I504" s="3">
        <v>18.399999999999999</v>
      </c>
      <c r="J504" s="3" t="s">
        <v>48</v>
      </c>
      <c r="K504" s="3">
        <v>0</v>
      </c>
      <c r="L504" s="3">
        <v>0</v>
      </c>
      <c r="M504" s="3">
        <v>36</v>
      </c>
      <c r="N504" s="3" t="s">
        <v>115</v>
      </c>
      <c r="O504" s="3" t="s">
        <v>72</v>
      </c>
      <c r="P504" s="3" t="s">
        <v>28</v>
      </c>
      <c r="Q504" s="3">
        <v>6</v>
      </c>
      <c r="R504" s="3">
        <v>110166</v>
      </c>
      <c r="S504" s="3">
        <v>846</v>
      </c>
      <c r="T504" s="3" t="s">
        <v>29</v>
      </c>
      <c r="U504" s="3">
        <v>0</v>
      </c>
      <c r="V504" s="3">
        <v>1273</v>
      </c>
      <c r="W504" s="5" t="str">
        <f t="shared" si="28"/>
        <v>750+</v>
      </c>
      <c r="X504" s="5" t="str">
        <f t="shared" si="29"/>
        <v>Low (&lt;=35%)</v>
      </c>
      <c r="Y504" s="5" t="str">
        <f t="shared" si="30"/>
        <v>Self-Employed</v>
      </c>
      <c r="Z504" s="3" t="str">
        <f t="shared" si="31"/>
        <v>Consumer &amp; Personal</v>
      </c>
    </row>
    <row r="505" spans="1:26" ht="17.399999999999999" x14ac:dyDescent="0.35">
      <c r="A505" s="3" t="s">
        <v>1002</v>
      </c>
      <c r="B505" s="3" t="s">
        <v>1003</v>
      </c>
      <c r="C505" s="4">
        <v>45725</v>
      </c>
      <c r="D505" s="3" t="s">
        <v>67</v>
      </c>
      <c r="E505" s="3">
        <v>6800</v>
      </c>
      <c r="F505" s="3">
        <v>24</v>
      </c>
      <c r="G505" s="3">
        <v>10.29</v>
      </c>
      <c r="H505" s="3">
        <v>314.7</v>
      </c>
      <c r="I505" s="3">
        <v>24.5</v>
      </c>
      <c r="J505" s="3" t="s">
        <v>99</v>
      </c>
      <c r="K505" s="3">
        <v>15</v>
      </c>
      <c r="L505" s="3">
        <v>0</v>
      </c>
      <c r="M505" s="3">
        <v>65</v>
      </c>
      <c r="N505" s="3" t="s">
        <v>42</v>
      </c>
      <c r="O505" s="3" t="s">
        <v>27</v>
      </c>
      <c r="P505" s="3" t="s">
        <v>85</v>
      </c>
      <c r="Q505" s="3">
        <v>24</v>
      </c>
      <c r="R505" s="3">
        <v>28964</v>
      </c>
      <c r="S505" s="3">
        <v>586</v>
      </c>
      <c r="T505" s="3" t="s">
        <v>38</v>
      </c>
      <c r="U505" s="3">
        <v>2</v>
      </c>
      <c r="V505" s="3">
        <v>277</v>
      </c>
      <c r="W505" s="5" t="str">
        <f t="shared" si="28"/>
        <v>520-599</v>
      </c>
      <c r="X505" s="5" t="str">
        <f t="shared" si="29"/>
        <v>Low (&lt;=35%)</v>
      </c>
      <c r="Y505" s="5" t="str">
        <f t="shared" si="30"/>
        <v>Retired</v>
      </c>
      <c r="Z505" s="3" t="str">
        <f t="shared" si="31"/>
        <v>Debt &amp; Assets</v>
      </c>
    </row>
    <row r="506" spans="1:26" ht="17.399999999999999" x14ac:dyDescent="0.35">
      <c r="A506" s="3" t="s">
        <v>1004</v>
      </c>
      <c r="B506" s="3" t="s">
        <v>1005</v>
      </c>
      <c r="C506" s="4">
        <v>45570</v>
      </c>
      <c r="D506" s="3" t="s">
        <v>77</v>
      </c>
      <c r="E506" s="3">
        <v>36000</v>
      </c>
      <c r="F506" s="3">
        <v>48</v>
      </c>
      <c r="G506" s="3">
        <v>14.34</v>
      </c>
      <c r="H506" s="3">
        <v>989.9</v>
      </c>
      <c r="I506" s="3">
        <v>56.2</v>
      </c>
      <c r="J506" s="3" t="s">
        <v>25</v>
      </c>
      <c r="K506" s="3">
        <v>0</v>
      </c>
      <c r="L506" s="3">
        <v>0</v>
      </c>
      <c r="M506" s="3">
        <v>59</v>
      </c>
      <c r="N506" s="3" t="s">
        <v>128</v>
      </c>
      <c r="O506" s="3" t="s">
        <v>72</v>
      </c>
      <c r="P506" s="3" t="s">
        <v>37</v>
      </c>
      <c r="Q506" s="3">
        <v>2</v>
      </c>
      <c r="R506" s="3">
        <v>94611</v>
      </c>
      <c r="S506" s="3">
        <v>619</v>
      </c>
      <c r="T506" s="3" t="s">
        <v>38</v>
      </c>
      <c r="U506" s="3">
        <v>2</v>
      </c>
      <c r="V506" s="3">
        <v>3444</v>
      </c>
      <c r="W506" s="5" t="str">
        <f t="shared" si="28"/>
        <v>600-649</v>
      </c>
      <c r="X506" s="5" t="str">
        <f t="shared" si="29"/>
        <v>High (51-75%)</v>
      </c>
      <c r="Y506" s="5" t="str">
        <f t="shared" si="30"/>
        <v>Employed</v>
      </c>
      <c r="Z506" s="3" t="str">
        <f t="shared" si="31"/>
        <v>Consumer &amp; Personal</v>
      </c>
    </row>
    <row r="507" spans="1:26" ht="17.399999999999999" x14ac:dyDescent="0.35">
      <c r="A507" s="3" t="s">
        <v>1006</v>
      </c>
      <c r="B507" s="3" t="s">
        <v>1005</v>
      </c>
      <c r="C507" s="4">
        <v>45480</v>
      </c>
      <c r="D507" s="3" t="s">
        <v>56</v>
      </c>
      <c r="E507" s="3">
        <v>21200</v>
      </c>
      <c r="F507" s="3">
        <v>12</v>
      </c>
      <c r="G507" s="3">
        <v>10.78</v>
      </c>
      <c r="H507" s="3">
        <v>1871.52</v>
      </c>
      <c r="I507" s="3">
        <v>67.400000000000006</v>
      </c>
      <c r="J507" s="3" t="s">
        <v>99</v>
      </c>
      <c r="K507" s="3">
        <v>30</v>
      </c>
      <c r="L507" s="3">
        <v>0</v>
      </c>
      <c r="M507" s="3">
        <v>59</v>
      </c>
      <c r="N507" s="3" t="s">
        <v>128</v>
      </c>
      <c r="O507" s="3" t="s">
        <v>72</v>
      </c>
      <c r="P507" s="3" t="s">
        <v>37</v>
      </c>
      <c r="Q507" s="3">
        <v>2</v>
      </c>
      <c r="R507" s="3">
        <v>94611</v>
      </c>
      <c r="S507" s="3">
        <v>619</v>
      </c>
      <c r="T507" s="3" t="s">
        <v>38</v>
      </c>
      <c r="U507" s="3">
        <v>2</v>
      </c>
      <c r="V507" s="3">
        <v>3444</v>
      </c>
      <c r="W507" s="5" t="str">
        <f t="shared" si="28"/>
        <v>600-649</v>
      </c>
      <c r="X507" s="5" t="str">
        <f t="shared" si="29"/>
        <v>High (51-75%)</v>
      </c>
      <c r="Y507" s="5" t="str">
        <f t="shared" si="30"/>
        <v>Employed</v>
      </c>
      <c r="Z507" s="3" t="str">
        <f t="shared" si="31"/>
        <v>Consumer &amp; Personal</v>
      </c>
    </row>
    <row r="508" spans="1:26" ht="17.399999999999999" x14ac:dyDescent="0.35">
      <c r="A508" s="3" t="s">
        <v>1007</v>
      </c>
      <c r="B508" s="3" t="s">
        <v>1008</v>
      </c>
      <c r="C508" s="4">
        <v>45460</v>
      </c>
      <c r="D508" s="3" t="s">
        <v>24</v>
      </c>
      <c r="E508" s="3">
        <v>33300</v>
      </c>
      <c r="F508" s="3">
        <v>48</v>
      </c>
      <c r="G508" s="3">
        <v>10.34</v>
      </c>
      <c r="H508" s="3">
        <v>850.02</v>
      </c>
      <c r="I508" s="3">
        <v>45.4</v>
      </c>
      <c r="J508" s="3" t="s">
        <v>32</v>
      </c>
      <c r="K508" s="3">
        <v>125</v>
      </c>
      <c r="L508" s="3">
        <v>1</v>
      </c>
      <c r="M508" s="3">
        <v>62</v>
      </c>
      <c r="N508" s="3" t="s">
        <v>68</v>
      </c>
      <c r="O508" s="3" t="s">
        <v>43</v>
      </c>
      <c r="P508" s="3" t="s">
        <v>28</v>
      </c>
      <c r="Q508" s="3">
        <v>35</v>
      </c>
      <c r="R508" s="3">
        <v>71897</v>
      </c>
      <c r="S508" s="3">
        <v>828</v>
      </c>
      <c r="T508" s="3" t="s">
        <v>45</v>
      </c>
      <c r="U508" s="3">
        <v>2</v>
      </c>
      <c r="V508" s="3">
        <v>1873</v>
      </c>
      <c r="W508" s="5" t="str">
        <f t="shared" si="28"/>
        <v>750+</v>
      </c>
      <c r="X508" s="5" t="str">
        <f t="shared" si="29"/>
        <v>Manageable (36-50%)</v>
      </c>
      <c r="Y508" s="5" t="str">
        <f t="shared" si="30"/>
        <v>Self-Employed</v>
      </c>
      <c r="Z508" s="3" t="str">
        <f t="shared" si="31"/>
        <v>Consumer &amp; Personal</v>
      </c>
    </row>
    <row r="509" spans="1:26" ht="17.399999999999999" x14ac:dyDescent="0.35">
      <c r="A509" s="3" t="s">
        <v>1009</v>
      </c>
      <c r="B509" s="3" t="s">
        <v>1010</v>
      </c>
      <c r="C509" s="4">
        <v>45635</v>
      </c>
      <c r="D509" s="3" t="s">
        <v>64</v>
      </c>
      <c r="E509" s="3">
        <v>5100</v>
      </c>
      <c r="F509" s="3">
        <v>36</v>
      </c>
      <c r="G509" s="3">
        <v>9.5500000000000007</v>
      </c>
      <c r="H509" s="3">
        <v>163.49</v>
      </c>
      <c r="I509" s="3">
        <v>19.5</v>
      </c>
      <c r="J509" s="3" t="s">
        <v>32</v>
      </c>
      <c r="K509" s="3">
        <v>102</v>
      </c>
      <c r="L509" s="3">
        <v>1</v>
      </c>
      <c r="M509" s="3">
        <v>33</v>
      </c>
      <c r="N509" s="3" t="s">
        <v>149</v>
      </c>
      <c r="O509" s="3" t="s">
        <v>43</v>
      </c>
      <c r="P509" s="3" t="s">
        <v>28</v>
      </c>
      <c r="Q509" s="3">
        <v>8</v>
      </c>
      <c r="R509" s="3">
        <v>50767</v>
      </c>
      <c r="S509" s="3">
        <v>808</v>
      </c>
      <c r="T509" s="3" t="s">
        <v>45</v>
      </c>
      <c r="U509" s="3">
        <v>0</v>
      </c>
      <c r="V509" s="3">
        <v>662</v>
      </c>
      <c r="W509" s="5" t="str">
        <f t="shared" si="28"/>
        <v>750+</v>
      </c>
      <c r="X509" s="5" t="str">
        <f t="shared" si="29"/>
        <v>Low (&lt;=35%)</v>
      </c>
      <c r="Y509" s="5" t="str">
        <f t="shared" si="30"/>
        <v>Self-Employed</v>
      </c>
      <c r="Z509" s="3" t="str">
        <f t="shared" si="31"/>
        <v>Investment &amp; Growth</v>
      </c>
    </row>
    <row r="510" spans="1:26" ht="17.399999999999999" x14ac:dyDescent="0.35">
      <c r="A510" s="3" t="s">
        <v>1011</v>
      </c>
      <c r="B510" s="3" t="s">
        <v>1012</v>
      </c>
      <c r="C510" s="4">
        <v>45498</v>
      </c>
      <c r="D510" s="3" t="s">
        <v>61</v>
      </c>
      <c r="E510" s="3">
        <v>17400</v>
      </c>
      <c r="F510" s="3">
        <v>36</v>
      </c>
      <c r="G510" s="3">
        <v>6.77</v>
      </c>
      <c r="H510" s="3">
        <v>535.42999999999995</v>
      </c>
      <c r="I510" s="3">
        <v>62.8</v>
      </c>
      <c r="J510" s="3" t="s">
        <v>48</v>
      </c>
      <c r="K510" s="3">
        <v>0</v>
      </c>
      <c r="L510" s="3">
        <v>0</v>
      </c>
      <c r="M510" s="3">
        <v>43</v>
      </c>
      <c r="N510" s="3" t="s">
        <v>119</v>
      </c>
      <c r="O510" s="3" t="s">
        <v>79</v>
      </c>
      <c r="P510" s="3" t="s">
        <v>37</v>
      </c>
      <c r="Q510" s="3">
        <v>16</v>
      </c>
      <c r="R510" s="3">
        <v>73304</v>
      </c>
      <c r="S510" s="3">
        <v>850</v>
      </c>
      <c r="T510" s="3" t="s">
        <v>45</v>
      </c>
      <c r="U510" s="3">
        <v>3</v>
      </c>
      <c r="V510" s="3">
        <v>3302</v>
      </c>
      <c r="W510" s="5" t="str">
        <f t="shared" si="28"/>
        <v>750+</v>
      </c>
      <c r="X510" s="5" t="str">
        <f t="shared" si="29"/>
        <v>High (51-75%)</v>
      </c>
      <c r="Y510" s="5" t="str">
        <f t="shared" si="30"/>
        <v>Employed</v>
      </c>
      <c r="Z510" s="3" t="str">
        <f t="shared" si="31"/>
        <v>Investment &amp; Growth</v>
      </c>
    </row>
    <row r="511" spans="1:26" ht="17.399999999999999" x14ac:dyDescent="0.35">
      <c r="A511" s="3" t="s">
        <v>1013</v>
      </c>
      <c r="B511" s="3" t="s">
        <v>1014</v>
      </c>
      <c r="C511" s="4">
        <v>45614</v>
      </c>
      <c r="D511" s="3" t="s">
        <v>77</v>
      </c>
      <c r="E511" s="3">
        <v>10800</v>
      </c>
      <c r="F511" s="3">
        <v>48</v>
      </c>
      <c r="G511" s="3">
        <v>6.06</v>
      </c>
      <c r="H511" s="3">
        <v>253.94</v>
      </c>
      <c r="I511" s="3">
        <v>49</v>
      </c>
      <c r="J511" s="3" t="s">
        <v>32</v>
      </c>
      <c r="K511" s="3">
        <v>109</v>
      </c>
      <c r="L511" s="3">
        <v>1</v>
      </c>
      <c r="M511" s="3">
        <v>22</v>
      </c>
      <c r="N511" s="3" t="s">
        <v>62</v>
      </c>
      <c r="O511" s="3" t="s">
        <v>27</v>
      </c>
      <c r="P511" s="3" t="s">
        <v>37</v>
      </c>
      <c r="Q511" s="3">
        <v>2</v>
      </c>
      <c r="R511" s="3">
        <v>30860</v>
      </c>
      <c r="S511" s="3">
        <v>850</v>
      </c>
      <c r="T511" s="3" t="s">
        <v>29</v>
      </c>
      <c r="U511" s="3">
        <v>4</v>
      </c>
      <c r="V511" s="3">
        <v>1006</v>
      </c>
      <c r="W511" s="5" t="str">
        <f t="shared" si="28"/>
        <v>750+</v>
      </c>
      <c r="X511" s="5" t="str">
        <f t="shared" si="29"/>
        <v>Manageable (36-50%)</v>
      </c>
      <c r="Y511" s="5" t="str">
        <f t="shared" si="30"/>
        <v>Employed</v>
      </c>
      <c r="Z511" s="3" t="str">
        <f t="shared" si="31"/>
        <v>Consumer &amp; Personal</v>
      </c>
    </row>
    <row r="512" spans="1:26" ht="17.399999999999999" x14ac:dyDescent="0.35">
      <c r="A512" s="3" t="s">
        <v>1015</v>
      </c>
      <c r="B512" s="3" t="s">
        <v>1014</v>
      </c>
      <c r="C512" s="4">
        <v>45614</v>
      </c>
      <c r="D512" s="3" t="s">
        <v>67</v>
      </c>
      <c r="E512" s="3">
        <v>34800</v>
      </c>
      <c r="F512" s="3">
        <v>48</v>
      </c>
      <c r="G512" s="3">
        <v>8.33</v>
      </c>
      <c r="H512" s="3">
        <v>854.97</v>
      </c>
      <c r="I512" s="3">
        <v>72.400000000000006</v>
      </c>
      <c r="J512" s="3" t="s">
        <v>25</v>
      </c>
      <c r="K512" s="3">
        <v>0</v>
      </c>
      <c r="L512" s="3">
        <v>0</v>
      </c>
      <c r="M512" s="3">
        <v>22</v>
      </c>
      <c r="N512" s="3" t="s">
        <v>62</v>
      </c>
      <c r="O512" s="3" t="s">
        <v>27</v>
      </c>
      <c r="P512" s="3" t="s">
        <v>37</v>
      </c>
      <c r="Q512" s="3">
        <v>2</v>
      </c>
      <c r="R512" s="3">
        <v>30860</v>
      </c>
      <c r="S512" s="3">
        <v>850</v>
      </c>
      <c r="T512" s="3" t="s">
        <v>29</v>
      </c>
      <c r="U512" s="3">
        <v>4</v>
      </c>
      <c r="V512" s="3">
        <v>1006</v>
      </c>
      <c r="W512" s="5" t="str">
        <f t="shared" si="28"/>
        <v>750+</v>
      </c>
      <c r="X512" s="5" t="str">
        <f t="shared" si="29"/>
        <v>High (51-75%)</v>
      </c>
      <c r="Y512" s="5" t="str">
        <f t="shared" si="30"/>
        <v>Employed</v>
      </c>
      <c r="Z512" s="3" t="str">
        <f t="shared" si="31"/>
        <v>Debt &amp; Assets</v>
      </c>
    </row>
    <row r="513" spans="1:26" ht="17.399999999999999" x14ac:dyDescent="0.35">
      <c r="A513" s="3" t="s">
        <v>1016</v>
      </c>
      <c r="B513" s="3" t="s">
        <v>1017</v>
      </c>
      <c r="C513" s="4">
        <v>45445</v>
      </c>
      <c r="D513" s="3" t="s">
        <v>61</v>
      </c>
      <c r="E513" s="3">
        <v>30100</v>
      </c>
      <c r="F513" s="3">
        <v>60</v>
      </c>
      <c r="G513" s="3">
        <v>9.49</v>
      </c>
      <c r="H513" s="3">
        <v>632.01</v>
      </c>
      <c r="I513" s="3">
        <v>61.9</v>
      </c>
      <c r="J513" s="3" t="s">
        <v>32</v>
      </c>
      <c r="K513" s="3">
        <v>127</v>
      </c>
      <c r="L513" s="3">
        <v>1</v>
      </c>
      <c r="M513" s="3">
        <v>42</v>
      </c>
      <c r="N513" s="3" t="s">
        <v>96</v>
      </c>
      <c r="O513" s="3" t="s">
        <v>43</v>
      </c>
      <c r="P513" s="3" t="s">
        <v>28</v>
      </c>
      <c r="Q513" s="3">
        <v>17</v>
      </c>
      <c r="R513" s="3">
        <v>47833</v>
      </c>
      <c r="S513" s="3">
        <v>661</v>
      </c>
      <c r="T513" s="3" t="s">
        <v>29</v>
      </c>
      <c r="U513" s="3">
        <v>3</v>
      </c>
      <c r="V513" s="3">
        <v>1837</v>
      </c>
      <c r="W513" s="5" t="str">
        <f t="shared" si="28"/>
        <v>650-699</v>
      </c>
      <c r="X513" s="5" t="str">
        <f t="shared" si="29"/>
        <v>High (51-75%)</v>
      </c>
      <c r="Y513" s="5" t="str">
        <f t="shared" si="30"/>
        <v>Self-Employed</v>
      </c>
      <c r="Z513" s="3" t="str">
        <f t="shared" si="31"/>
        <v>Investment &amp; Growth</v>
      </c>
    </row>
    <row r="514" spans="1:26" ht="17.399999999999999" x14ac:dyDescent="0.35">
      <c r="A514" s="3" t="s">
        <v>1018</v>
      </c>
      <c r="B514" s="3" t="s">
        <v>1019</v>
      </c>
      <c r="C514" s="4">
        <v>45387</v>
      </c>
      <c r="D514" s="3" t="s">
        <v>67</v>
      </c>
      <c r="E514" s="3">
        <v>8700</v>
      </c>
      <c r="F514" s="3">
        <v>48</v>
      </c>
      <c r="G514" s="3">
        <v>8.9600000000000009</v>
      </c>
      <c r="H514" s="3">
        <v>216.33</v>
      </c>
      <c r="I514" s="3">
        <v>13.4</v>
      </c>
      <c r="J514" s="3" t="s">
        <v>48</v>
      </c>
      <c r="K514" s="3">
        <v>0</v>
      </c>
      <c r="L514" s="3">
        <v>0</v>
      </c>
      <c r="M514" s="3">
        <v>45</v>
      </c>
      <c r="N514" s="3" t="s">
        <v>93</v>
      </c>
      <c r="O514" s="3" t="s">
        <v>43</v>
      </c>
      <c r="P514" s="3" t="s">
        <v>37</v>
      </c>
      <c r="Q514" s="3">
        <v>20</v>
      </c>
      <c r="R514" s="3">
        <v>71658</v>
      </c>
      <c r="S514" s="3">
        <v>686</v>
      </c>
      <c r="T514" s="3" t="s">
        <v>38</v>
      </c>
      <c r="U514" s="3">
        <v>0</v>
      </c>
      <c r="V514" s="3">
        <v>585</v>
      </c>
      <c r="W514" s="5" t="str">
        <f t="shared" ref="W514:W577" si="32">IF(S514&lt;=599, "520-599", IF(S514&lt;=649, "600-649", IF(S514&lt;=699, "650-699", IF(S514&lt;=749, "700-749", "750+"))))</f>
        <v>650-699</v>
      </c>
      <c r="X514" s="5" t="str">
        <f t="shared" ref="X514:X577" si="33">IF(I514&lt;=35, "Low (&lt;=35%)", IF(I514&lt;=50, "Manageable (36-50%)", IF(I514&lt;=75, "High (51-75%)", "Critical (&gt;75%)")))</f>
        <v>Low (&lt;=35%)</v>
      </c>
      <c r="Y514" s="5" t="str">
        <f t="shared" ref="Y514:Y577" si="34">IF(OR(P514="Full-Time", P514="Part-Time", P514="Contract"), "Employed", IF(P514="Self-Employed", "Self-Employed", IF(P514="Retired", "Retired", "Other")))</f>
        <v>Employed</v>
      </c>
      <c r="Z514" s="3" t="str">
        <f t="shared" ref="Z514:Z577" si="35">IF(OR(D514="Vacation", D514="Medical Expenses", D514="Wedding", D514="Moving"), "Consumer &amp; Personal", IF(OR(D514="Debt Consolidation", D514="Major Purchase", D514="Auto Loan"), "Debt &amp; Assets", IF(OR(D514="Home Improvement", D514="Business Loan", D514="Education"), "Investment &amp; Growth", "Other")))</f>
        <v>Debt &amp; Assets</v>
      </c>
    </row>
    <row r="515" spans="1:26" ht="17.399999999999999" x14ac:dyDescent="0.35">
      <c r="A515" s="3" t="s">
        <v>1020</v>
      </c>
      <c r="B515" s="3" t="s">
        <v>1021</v>
      </c>
      <c r="C515" s="4">
        <v>45827</v>
      </c>
      <c r="D515" s="3" t="s">
        <v>56</v>
      </c>
      <c r="E515" s="3">
        <v>7500</v>
      </c>
      <c r="F515" s="3">
        <v>60</v>
      </c>
      <c r="G515" s="3">
        <v>8.4600000000000009</v>
      </c>
      <c r="H515" s="3">
        <v>153.72999999999999</v>
      </c>
      <c r="I515" s="3">
        <v>21.5</v>
      </c>
      <c r="J515" s="3" t="s">
        <v>25</v>
      </c>
      <c r="K515" s="3">
        <v>0</v>
      </c>
      <c r="L515" s="3">
        <v>0</v>
      </c>
      <c r="M515" s="3">
        <v>56</v>
      </c>
      <c r="N515" s="3" t="s">
        <v>102</v>
      </c>
      <c r="O515" s="3" t="s">
        <v>43</v>
      </c>
      <c r="P515" s="3" t="s">
        <v>73</v>
      </c>
      <c r="Q515" s="3">
        <v>13</v>
      </c>
      <c r="R515" s="3">
        <v>29725</v>
      </c>
      <c r="S515" s="3">
        <v>847</v>
      </c>
      <c r="T515" s="3" t="s">
        <v>29</v>
      </c>
      <c r="U515" s="3">
        <v>3</v>
      </c>
      <c r="V515" s="3">
        <v>378</v>
      </c>
      <c r="W515" s="5" t="str">
        <f t="shared" si="32"/>
        <v>750+</v>
      </c>
      <c r="X515" s="5" t="str">
        <f t="shared" si="33"/>
        <v>Low (&lt;=35%)</v>
      </c>
      <c r="Y515" s="5" t="str">
        <f t="shared" si="34"/>
        <v>Employed</v>
      </c>
      <c r="Z515" s="3" t="str">
        <f t="shared" si="35"/>
        <v>Consumer &amp; Personal</v>
      </c>
    </row>
    <row r="516" spans="1:26" ht="17.399999999999999" x14ac:dyDescent="0.35">
      <c r="A516" s="3" t="s">
        <v>1022</v>
      </c>
      <c r="B516" s="3" t="s">
        <v>1023</v>
      </c>
      <c r="C516" s="4">
        <v>45688</v>
      </c>
      <c r="D516" s="3" t="s">
        <v>52</v>
      </c>
      <c r="E516" s="3">
        <v>47100</v>
      </c>
      <c r="F516" s="3">
        <v>12</v>
      </c>
      <c r="G516" s="3">
        <v>14.85</v>
      </c>
      <c r="H516" s="3">
        <v>4247.83</v>
      </c>
      <c r="I516" s="3">
        <v>64.8</v>
      </c>
      <c r="J516" s="3" t="s">
        <v>32</v>
      </c>
      <c r="K516" s="3">
        <v>49</v>
      </c>
      <c r="L516" s="3">
        <v>1</v>
      </c>
      <c r="M516" s="3">
        <v>66</v>
      </c>
      <c r="N516" s="3" t="s">
        <v>172</v>
      </c>
      <c r="O516" s="3" t="s">
        <v>72</v>
      </c>
      <c r="P516" s="3" t="s">
        <v>28</v>
      </c>
      <c r="Q516" s="3">
        <v>9</v>
      </c>
      <c r="R516" s="3">
        <v>91943</v>
      </c>
      <c r="S516" s="3">
        <v>576</v>
      </c>
      <c r="T516" s="3" t="s">
        <v>38</v>
      </c>
      <c r="U516" s="3">
        <v>1</v>
      </c>
      <c r="V516" s="3">
        <v>718</v>
      </c>
      <c r="W516" s="5" t="str">
        <f t="shared" si="32"/>
        <v>520-599</v>
      </c>
      <c r="X516" s="5" t="str">
        <f t="shared" si="33"/>
        <v>High (51-75%)</v>
      </c>
      <c r="Y516" s="5" t="str">
        <f t="shared" si="34"/>
        <v>Self-Employed</v>
      </c>
      <c r="Z516" s="3" t="str">
        <f t="shared" si="35"/>
        <v>Investment &amp; Growth</v>
      </c>
    </row>
    <row r="517" spans="1:26" ht="17.399999999999999" x14ac:dyDescent="0.35">
      <c r="A517" s="3" t="s">
        <v>1024</v>
      </c>
      <c r="B517" s="3" t="s">
        <v>1025</v>
      </c>
      <c r="C517" s="4">
        <v>45608</v>
      </c>
      <c r="D517" s="3" t="s">
        <v>77</v>
      </c>
      <c r="E517" s="3">
        <v>14000</v>
      </c>
      <c r="F517" s="3">
        <v>12</v>
      </c>
      <c r="G517" s="3">
        <v>10.029999999999999</v>
      </c>
      <c r="H517" s="3">
        <v>1231.02</v>
      </c>
      <c r="I517" s="3">
        <v>86</v>
      </c>
      <c r="J517" s="3" t="s">
        <v>99</v>
      </c>
      <c r="K517" s="3">
        <v>30</v>
      </c>
      <c r="L517" s="3">
        <v>0</v>
      </c>
      <c r="M517" s="3">
        <v>25</v>
      </c>
      <c r="N517" s="3" t="s">
        <v>105</v>
      </c>
      <c r="O517" s="3" t="s">
        <v>27</v>
      </c>
      <c r="P517" s="3" t="s">
        <v>37</v>
      </c>
      <c r="Q517" s="3">
        <v>2</v>
      </c>
      <c r="R517" s="3">
        <v>24879</v>
      </c>
      <c r="S517" s="3">
        <v>641</v>
      </c>
      <c r="T517" s="3" t="s">
        <v>45</v>
      </c>
      <c r="U517" s="3">
        <v>2</v>
      </c>
      <c r="V517" s="3">
        <v>552</v>
      </c>
      <c r="W517" s="5" t="str">
        <f t="shared" si="32"/>
        <v>600-649</v>
      </c>
      <c r="X517" s="5" t="str">
        <f t="shared" si="33"/>
        <v>Critical (&gt;75%)</v>
      </c>
      <c r="Y517" s="5" t="str">
        <f t="shared" si="34"/>
        <v>Employed</v>
      </c>
      <c r="Z517" s="3" t="str">
        <f t="shared" si="35"/>
        <v>Consumer &amp; Personal</v>
      </c>
    </row>
    <row r="518" spans="1:26" ht="17.399999999999999" x14ac:dyDescent="0.35">
      <c r="A518" s="3" t="s">
        <v>1026</v>
      </c>
      <c r="B518" s="3" t="s">
        <v>1025</v>
      </c>
      <c r="C518" s="4">
        <v>45457</v>
      </c>
      <c r="D518" s="3" t="s">
        <v>61</v>
      </c>
      <c r="E518" s="3">
        <v>11300</v>
      </c>
      <c r="F518" s="3">
        <v>24</v>
      </c>
      <c r="G518" s="3">
        <v>13.99</v>
      </c>
      <c r="H518" s="3">
        <v>542.49</v>
      </c>
      <c r="I518" s="3">
        <v>52.8</v>
      </c>
      <c r="J518" s="3" t="s">
        <v>32</v>
      </c>
      <c r="K518" s="3">
        <v>177</v>
      </c>
      <c r="L518" s="3">
        <v>1</v>
      </c>
      <c r="M518" s="3">
        <v>25</v>
      </c>
      <c r="N518" s="3" t="s">
        <v>105</v>
      </c>
      <c r="O518" s="3" t="s">
        <v>27</v>
      </c>
      <c r="P518" s="3" t="s">
        <v>37</v>
      </c>
      <c r="Q518" s="3">
        <v>2</v>
      </c>
      <c r="R518" s="3">
        <v>24879</v>
      </c>
      <c r="S518" s="3">
        <v>641</v>
      </c>
      <c r="T518" s="3" t="s">
        <v>45</v>
      </c>
      <c r="U518" s="3">
        <v>2</v>
      </c>
      <c r="V518" s="3">
        <v>552</v>
      </c>
      <c r="W518" s="5" t="str">
        <f t="shared" si="32"/>
        <v>600-649</v>
      </c>
      <c r="X518" s="5" t="str">
        <f t="shared" si="33"/>
        <v>High (51-75%)</v>
      </c>
      <c r="Y518" s="5" t="str">
        <f t="shared" si="34"/>
        <v>Employed</v>
      </c>
      <c r="Z518" s="3" t="str">
        <f t="shared" si="35"/>
        <v>Investment &amp; Growth</v>
      </c>
    </row>
    <row r="519" spans="1:26" ht="17.399999999999999" x14ac:dyDescent="0.35">
      <c r="A519" s="3" t="s">
        <v>1027</v>
      </c>
      <c r="B519" s="3" t="s">
        <v>1028</v>
      </c>
      <c r="C519" s="4">
        <v>45776</v>
      </c>
      <c r="D519" s="3" t="s">
        <v>61</v>
      </c>
      <c r="E519" s="3">
        <v>11800</v>
      </c>
      <c r="F519" s="3">
        <v>48</v>
      </c>
      <c r="G519" s="3">
        <v>7.19</v>
      </c>
      <c r="H519" s="3">
        <v>283.61</v>
      </c>
      <c r="I519" s="3">
        <v>55.7</v>
      </c>
      <c r="J519" s="3" t="s">
        <v>48</v>
      </c>
      <c r="K519" s="3">
        <v>0</v>
      </c>
      <c r="L519" s="3">
        <v>0</v>
      </c>
      <c r="M519" s="3">
        <v>23</v>
      </c>
      <c r="N519" s="3" t="s">
        <v>167</v>
      </c>
      <c r="O519" s="3" t="s">
        <v>43</v>
      </c>
      <c r="P519" s="3" t="s">
        <v>37</v>
      </c>
      <c r="Q519" s="3">
        <v>0</v>
      </c>
      <c r="R519" s="3">
        <v>40976</v>
      </c>
      <c r="S519" s="3">
        <v>846</v>
      </c>
      <c r="T519" s="3" t="s">
        <v>29</v>
      </c>
      <c r="U519" s="3">
        <v>0</v>
      </c>
      <c r="V519" s="3">
        <v>1618</v>
      </c>
      <c r="W519" s="5" t="str">
        <f t="shared" si="32"/>
        <v>750+</v>
      </c>
      <c r="X519" s="5" t="str">
        <f t="shared" si="33"/>
        <v>High (51-75%)</v>
      </c>
      <c r="Y519" s="5" t="str">
        <f t="shared" si="34"/>
        <v>Employed</v>
      </c>
      <c r="Z519" s="3" t="str">
        <f t="shared" si="35"/>
        <v>Investment &amp; Growth</v>
      </c>
    </row>
    <row r="520" spans="1:26" ht="17.399999999999999" x14ac:dyDescent="0.35">
      <c r="A520" s="3" t="s">
        <v>1029</v>
      </c>
      <c r="B520" s="3" t="s">
        <v>1030</v>
      </c>
      <c r="C520" s="4">
        <v>45702</v>
      </c>
      <c r="D520" s="3" t="s">
        <v>61</v>
      </c>
      <c r="E520" s="3">
        <v>25400</v>
      </c>
      <c r="F520" s="3">
        <v>36</v>
      </c>
      <c r="G520" s="3">
        <v>12.56</v>
      </c>
      <c r="H520" s="3">
        <v>850.45</v>
      </c>
      <c r="I520" s="3">
        <v>32.4</v>
      </c>
      <c r="J520" s="3" t="s">
        <v>99</v>
      </c>
      <c r="K520" s="3">
        <v>0</v>
      </c>
      <c r="L520" s="3">
        <v>0</v>
      </c>
      <c r="M520" s="3">
        <v>44</v>
      </c>
      <c r="N520" s="3" t="s">
        <v>179</v>
      </c>
      <c r="O520" s="3" t="s">
        <v>72</v>
      </c>
      <c r="P520" s="3" t="s">
        <v>37</v>
      </c>
      <c r="Q520" s="3">
        <v>19</v>
      </c>
      <c r="R520" s="3">
        <v>122115</v>
      </c>
      <c r="S520" s="3">
        <v>704</v>
      </c>
      <c r="T520" s="3" t="s">
        <v>38</v>
      </c>
      <c r="U520" s="3">
        <v>3</v>
      </c>
      <c r="V520" s="3">
        <v>2449</v>
      </c>
      <c r="W520" s="5" t="str">
        <f t="shared" si="32"/>
        <v>700-749</v>
      </c>
      <c r="X520" s="5" t="str">
        <f t="shared" si="33"/>
        <v>Low (&lt;=35%)</v>
      </c>
      <c r="Y520" s="5" t="str">
        <f t="shared" si="34"/>
        <v>Employed</v>
      </c>
      <c r="Z520" s="3" t="str">
        <f t="shared" si="35"/>
        <v>Investment &amp; Growth</v>
      </c>
    </row>
    <row r="521" spans="1:26" ht="17.399999999999999" x14ac:dyDescent="0.35">
      <c r="A521" s="3" t="s">
        <v>1031</v>
      </c>
      <c r="B521" s="3" t="s">
        <v>1030</v>
      </c>
      <c r="C521" s="4">
        <v>45715</v>
      </c>
      <c r="D521" s="3" t="s">
        <v>24</v>
      </c>
      <c r="E521" s="3">
        <v>42600</v>
      </c>
      <c r="F521" s="3">
        <v>36</v>
      </c>
      <c r="G521" s="3">
        <v>10.14</v>
      </c>
      <c r="H521" s="3">
        <v>1377.38</v>
      </c>
      <c r="I521" s="3">
        <v>37.6</v>
      </c>
      <c r="J521" s="3" t="s">
        <v>25</v>
      </c>
      <c r="K521" s="3">
        <v>0</v>
      </c>
      <c r="L521" s="3">
        <v>0</v>
      </c>
      <c r="M521" s="3">
        <v>44</v>
      </c>
      <c r="N521" s="3" t="s">
        <v>179</v>
      </c>
      <c r="O521" s="3" t="s">
        <v>72</v>
      </c>
      <c r="P521" s="3" t="s">
        <v>37</v>
      </c>
      <c r="Q521" s="3">
        <v>19</v>
      </c>
      <c r="R521" s="3">
        <v>122115</v>
      </c>
      <c r="S521" s="3">
        <v>704</v>
      </c>
      <c r="T521" s="3" t="s">
        <v>38</v>
      </c>
      <c r="U521" s="3">
        <v>3</v>
      </c>
      <c r="V521" s="3">
        <v>2449</v>
      </c>
      <c r="W521" s="5" t="str">
        <f t="shared" si="32"/>
        <v>700-749</v>
      </c>
      <c r="X521" s="5" t="str">
        <f t="shared" si="33"/>
        <v>Manageable (36-50%)</v>
      </c>
      <c r="Y521" s="5" t="str">
        <f t="shared" si="34"/>
        <v>Employed</v>
      </c>
      <c r="Z521" s="3" t="str">
        <f t="shared" si="35"/>
        <v>Consumer &amp; Personal</v>
      </c>
    </row>
    <row r="522" spans="1:26" ht="17.399999999999999" x14ac:dyDescent="0.35">
      <c r="A522" s="3" t="s">
        <v>1032</v>
      </c>
      <c r="B522" s="3" t="s">
        <v>1033</v>
      </c>
      <c r="C522" s="4">
        <v>45300</v>
      </c>
      <c r="D522" s="3" t="s">
        <v>77</v>
      </c>
      <c r="E522" s="3">
        <v>4400</v>
      </c>
      <c r="F522" s="3">
        <v>24</v>
      </c>
      <c r="G522" s="3">
        <v>11.42</v>
      </c>
      <c r="H522" s="3">
        <v>205.93</v>
      </c>
      <c r="I522" s="3">
        <v>47.1</v>
      </c>
      <c r="J522" s="3" t="s">
        <v>48</v>
      </c>
      <c r="K522" s="3">
        <v>0</v>
      </c>
      <c r="L522" s="3">
        <v>0</v>
      </c>
      <c r="M522" s="3">
        <v>64</v>
      </c>
      <c r="N522" s="3" t="s">
        <v>36</v>
      </c>
      <c r="O522" s="3" t="s">
        <v>27</v>
      </c>
      <c r="P522" s="3" t="s">
        <v>37</v>
      </c>
      <c r="Q522" s="3">
        <v>34</v>
      </c>
      <c r="R522" s="3">
        <v>30139</v>
      </c>
      <c r="S522" s="3">
        <v>725</v>
      </c>
      <c r="T522" s="3" t="s">
        <v>45</v>
      </c>
      <c r="U522" s="3">
        <v>0</v>
      </c>
      <c r="V522" s="3">
        <v>976</v>
      </c>
      <c r="W522" s="5" t="str">
        <f t="shared" si="32"/>
        <v>700-749</v>
      </c>
      <c r="X522" s="5" t="str">
        <f t="shared" si="33"/>
        <v>Manageable (36-50%)</v>
      </c>
      <c r="Y522" s="5" t="str">
        <f t="shared" si="34"/>
        <v>Employed</v>
      </c>
      <c r="Z522" s="3" t="str">
        <f t="shared" si="35"/>
        <v>Consumer &amp; Personal</v>
      </c>
    </row>
    <row r="523" spans="1:26" ht="17.399999999999999" x14ac:dyDescent="0.35">
      <c r="A523" s="3" t="s">
        <v>1034</v>
      </c>
      <c r="B523" s="3" t="s">
        <v>1035</v>
      </c>
      <c r="C523" s="4">
        <v>45771</v>
      </c>
      <c r="D523" s="3" t="s">
        <v>61</v>
      </c>
      <c r="E523" s="3">
        <v>12600</v>
      </c>
      <c r="F523" s="3">
        <v>12</v>
      </c>
      <c r="G523" s="3">
        <v>8.26</v>
      </c>
      <c r="H523" s="3">
        <v>1097.57</v>
      </c>
      <c r="I523" s="3">
        <v>77.8</v>
      </c>
      <c r="J523" s="3" t="s">
        <v>99</v>
      </c>
      <c r="K523" s="3">
        <v>15</v>
      </c>
      <c r="L523" s="3">
        <v>0</v>
      </c>
      <c r="M523" s="3">
        <v>68</v>
      </c>
      <c r="N523" s="3" t="s">
        <v>96</v>
      </c>
      <c r="O523" s="3" t="s">
        <v>43</v>
      </c>
      <c r="P523" s="3" t="s">
        <v>85</v>
      </c>
      <c r="Q523" s="3">
        <v>9</v>
      </c>
      <c r="R523" s="3">
        <v>24786</v>
      </c>
      <c r="S523" s="3">
        <v>809</v>
      </c>
      <c r="T523" s="3" t="s">
        <v>38</v>
      </c>
      <c r="U523" s="3">
        <v>2</v>
      </c>
      <c r="V523" s="3">
        <v>510</v>
      </c>
      <c r="W523" s="5" t="str">
        <f t="shared" si="32"/>
        <v>750+</v>
      </c>
      <c r="X523" s="5" t="str">
        <f t="shared" si="33"/>
        <v>Critical (&gt;75%)</v>
      </c>
      <c r="Y523" s="5" t="str">
        <f t="shared" si="34"/>
        <v>Retired</v>
      </c>
      <c r="Z523" s="3" t="str">
        <f t="shared" si="35"/>
        <v>Investment &amp; Growth</v>
      </c>
    </row>
    <row r="524" spans="1:26" ht="17.399999999999999" x14ac:dyDescent="0.35">
      <c r="A524" s="3" t="s">
        <v>1036</v>
      </c>
      <c r="B524" s="3" t="s">
        <v>1037</v>
      </c>
      <c r="C524" s="4">
        <v>45628</v>
      </c>
      <c r="D524" s="3" t="s">
        <v>61</v>
      </c>
      <c r="E524" s="3">
        <v>46300</v>
      </c>
      <c r="F524" s="3">
        <v>48</v>
      </c>
      <c r="G524" s="3">
        <v>8.98</v>
      </c>
      <c r="H524" s="3">
        <v>1151.74</v>
      </c>
      <c r="I524" s="3">
        <v>23.8</v>
      </c>
      <c r="J524" s="3" t="s">
        <v>99</v>
      </c>
      <c r="K524" s="3">
        <v>0</v>
      </c>
      <c r="L524" s="3">
        <v>0</v>
      </c>
      <c r="M524" s="3">
        <v>57</v>
      </c>
      <c r="N524" s="3" t="s">
        <v>36</v>
      </c>
      <c r="O524" s="3" t="s">
        <v>72</v>
      </c>
      <c r="P524" s="3" t="s">
        <v>37</v>
      </c>
      <c r="Q524" s="3">
        <v>13</v>
      </c>
      <c r="R524" s="3">
        <v>118803</v>
      </c>
      <c r="S524" s="3">
        <v>721</v>
      </c>
      <c r="T524" s="3" t="s">
        <v>45</v>
      </c>
      <c r="U524" s="3">
        <v>3</v>
      </c>
      <c r="V524" s="3">
        <v>1200</v>
      </c>
      <c r="W524" s="5" t="str">
        <f t="shared" si="32"/>
        <v>700-749</v>
      </c>
      <c r="X524" s="5" t="str">
        <f t="shared" si="33"/>
        <v>Low (&lt;=35%)</v>
      </c>
      <c r="Y524" s="5" t="str">
        <f t="shared" si="34"/>
        <v>Employed</v>
      </c>
      <c r="Z524" s="3" t="str">
        <f t="shared" si="35"/>
        <v>Investment &amp; Growth</v>
      </c>
    </row>
    <row r="525" spans="1:26" ht="17.399999999999999" x14ac:dyDescent="0.35">
      <c r="A525" s="3" t="s">
        <v>1038</v>
      </c>
      <c r="B525" s="3" t="s">
        <v>1039</v>
      </c>
      <c r="C525" s="4">
        <v>45773</v>
      </c>
      <c r="D525" s="3" t="s">
        <v>24</v>
      </c>
      <c r="E525" s="3">
        <v>8700</v>
      </c>
      <c r="F525" s="3">
        <v>60</v>
      </c>
      <c r="G525" s="3">
        <v>10.5</v>
      </c>
      <c r="H525" s="3">
        <v>187</v>
      </c>
      <c r="I525" s="3">
        <v>48.4</v>
      </c>
      <c r="J525" s="3" t="s">
        <v>32</v>
      </c>
      <c r="K525" s="3">
        <v>84</v>
      </c>
      <c r="L525" s="3">
        <v>1</v>
      </c>
      <c r="M525" s="3">
        <v>33</v>
      </c>
      <c r="N525" s="3" t="s">
        <v>340</v>
      </c>
      <c r="O525" s="3" t="s">
        <v>79</v>
      </c>
      <c r="P525" s="3" t="s">
        <v>44</v>
      </c>
      <c r="Q525" s="3">
        <v>10</v>
      </c>
      <c r="R525" s="3">
        <v>38377</v>
      </c>
      <c r="S525" s="3">
        <v>617</v>
      </c>
      <c r="T525" s="3" t="s">
        <v>29</v>
      </c>
      <c r="U525" s="3">
        <v>0</v>
      </c>
      <c r="V525" s="3">
        <v>1360</v>
      </c>
      <c r="W525" s="5" t="str">
        <f t="shared" si="32"/>
        <v>600-649</v>
      </c>
      <c r="X525" s="5" t="str">
        <f t="shared" si="33"/>
        <v>Manageable (36-50%)</v>
      </c>
      <c r="Y525" s="5" t="str">
        <f t="shared" si="34"/>
        <v>Employed</v>
      </c>
      <c r="Z525" s="3" t="str">
        <f t="shared" si="35"/>
        <v>Consumer &amp; Personal</v>
      </c>
    </row>
    <row r="526" spans="1:26" ht="17.399999999999999" x14ac:dyDescent="0.35">
      <c r="A526" s="3" t="s">
        <v>1040</v>
      </c>
      <c r="B526" s="3" t="s">
        <v>1041</v>
      </c>
      <c r="C526" s="4">
        <v>45662</v>
      </c>
      <c r="D526" s="3" t="s">
        <v>67</v>
      </c>
      <c r="E526" s="3">
        <v>39200</v>
      </c>
      <c r="F526" s="3">
        <v>12</v>
      </c>
      <c r="G526" s="3">
        <v>15.28</v>
      </c>
      <c r="H526" s="3">
        <v>3543.31</v>
      </c>
      <c r="I526" s="3">
        <v>124.5</v>
      </c>
      <c r="J526" s="3" t="s">
        <v>99</v>
      </c>
      <c r="K526" s="3">
        <v>30</v>
      </c>
      <c r="L526" s="3">
        <v>0</v>
      </c>
      <c r="M526" s="3">
        <v>57</v>
      </c>
      <c r="N526" s="3" t="s">
        <v>89</v>
      </c>
      <c r="O526" s="3" t="s">
        <v>43</v>
      </c>
      <c r="P526" s="3" t="s">
        <v>37</v>
      </c>
      <c r="Q526" s="3">
        <v>16</v>
      </c>
      <c r="R526" s="3">
        <v>59143</v>
      </c>
      <c r="S526" s="3">
        <v>564</v>
      </c>
      <c r="T526" s="3" t="s">
        <v>38</v>
      </c>
      <c r="U526" s="3">
        <v>2</v>
      </c>
      <c r="V526" s="3">
        <v>2591</v>
      </c>
      <c r="W526" s="5" t="str">
        <f t="shared" si="32"/>
        <v>520-599</v>
      </c>
      <c r="X526" s="5" t="str">
        <f t="shared" si="33"/>
        <v>Critical (&gt;75%)</v>
      </c>
      <c r="Y526" s="5" t="str">
        <f t="shared" si="34"/>
        <v>Employed</v>
      </c>
      <c r="Z526" s="3" t="str">
        <f t="shared" si="35"/>
        <v>Debt &amp; Assets</v>
      </c>
    </row>
    <row r="527" spans="1:26" ht="17.399999999999999" x14ac:dyDescent="0.35">
      <c r="A527" s="3" t="s">
        <v>1042</v>
      </c>
      <c r="B527" s="3" t="s">
        <v>1043</v>
      </c>
      <c r="C527" s="4">
        <v>45472</v>
      </c>
      <c r="D527" s="3" t="s">
        <v>67</v>
      </c>
      <c r="E527" s="3">
        <v>26200</v>
      </c>
      <c r="F527" s="3">
        <v>36</v>
      </c>
      <c r="G527" s="3">
        <v>7.23</v>
      </c>
      <c r="H527" s="3">
        <v>811.74</v>
      </c>
      <c r="I527" s="3">
        <v>59</v>
      </c>
      <c r="J527" s="3" t="s">
        <v>32</v>
      </c>
      <c r="K527" s="3">
        <v>47</v>
      </c>
      <c r="L527" s="3">
        <v>1</v>
      </c>
      <c r="M527" s="3">
        <v>44</v>
      </c>
      <c r="N527" s="3" t="s">
        <v>128</v>
      </c>
      <c r="O527" s="3" t="s">
        <v>27</v>
      </c>
      <c r="P527" s="3" t="s">
        <v>28</v>
      </c>
      <c r="Q527" s="3">
        <v>2</v>
      </c>
      <c r="R527" s="3">
        <v>25921</v>
      </c>
      <c r="S527" s="3">
        <v>842</v>
      </c>
      <c r="T527" s="3" t="s">
        <v>29</v>
      </c>
      <c r="U527" s="3">
        <v>1</v>
      </c>
      <c r="V527" s="3">
        <v>462</v>
      </c>
      <c r="W527" s="5" t="str">
        <f t="shared" si="32"/>
        <v>750+</v>
      </c>
      <c r="X527" s="5" t="str">
        <f t="shared" si="33"/>
        <v>High (51-75%)</v>
      </c>
      <c r="Y527" s="5" t="str">
        <f t="shared" si="34"/>
        <v>Self-Employed</v>
      </c>
      <c r="Z527" s="3" t="str">
        <f t="shared" si="35"/>
        <v>Debt &amp; Assets</v>
      </c>
    </row>
    <row r="528" spans="1:26" ht="17.399999999999999" x14ac:dyDescent="0.35">
      <c r="A528" s="3" t="s">
        <v>1044</v>
      </c>
      <c r="B528" s="3" t="s">
        <v>1045</v>
      </c>
      <c r="C528" s="4">
        <v>45557</v>
      </c>
      <c r="D528" s="3" t="s">
        <v>61</v>
      </c>
      <c r="E528" s="3">
        <v>14900</v>
      </c>
      <c r="F528" s="3">
        <v>48</v>
      </c>
      <c r="G528" s="3">
        <v>10.77</v>
      </c>
      <c r="H528" s="3">
        <v>383.44</v>
      </c>
      <c r="I528" s="3">
        <v>32.4</v>
      </c>
      <c r="J528" s="3" t="s">
        <v>25</v>
      </c>
      <c r="K528" s="3">
        <v>0</v>
      </c>
      <c r="L528" s="3">
        <v>0</v>
      </c>
      <c r="M528" s="3">
        <v>64</v>
      </c>
      <c r="N528" s="3" t="s">
        <v>213</v>
      </c>
      <c r="O528" s="3" t="s">
        <v>79</v>
      </c>
      <c r="P528" s="3" t="s">
        <v>73</v>
      </c>
      <c r="Q528" s="3">
        <v>20</v>
      </c>
      <c r="R528" s="3">
        <v>30540</v>
      </c>
      <c r="S528" s="3">
        <v>711</v>
      </c>
      <c r="T528" s="3" t="s">
        <v>29</v>
      </c>
      <c r="U528" s="3">
        <v>0</v>
      </c>
      <c r="V528" s="3">
        <v>440</v>
      </c>
      <c r="W528" s="5" t="str">
        <f t="shared" si="32"/>
        <v>700-749</v>
      </c>
      <c r="X528" s="5" t="str">
        <f t="shared" si="33"/>
        <v>Low (&lt;=35%)</v>
      </c>
      <c r="Y528" s="5" t="str">
        <f t="shared" si="34"/>
        <v>Employed</v>
      </c>
      <c r="Z528" s="3" t="str">
        <f t="shared" si="35"/>
        <v>Investment &amp; Growth</v>
      </c>
    </row>
    <row r="529" spans="1:26" ht="17.399999999999999" x14ac:dyDescent="0.35">
      <c r="A529" s="3" t="s">
        <v>1046</v>
      </c>
      <c r="B529" s="3" t="s">
        <v>1047</v>
      </c>
      <c r="C529" s="4">
        <v>45456</v>
      </c>
      <c r="D529" s="3" t="s">
        <v>41</v>
      </c>
      <c r="E529" s="3">
        <v>8800</v>
      </c>
      <c r="F529" s="3">
        <v>48</v>
      </c>
      <c r="G529" s="3">
        <v>10.51</v>
      </c>
      <c r="H529" s="3">
        <v>225.35</v>
      </c>
      <c r="I529" s="3">
        <v>34.4</v>
      </c>
      <c r="J529" s="3" t="s">
        <v>25</v>
      </c>
      <c r="K529" s="3">
        <v>0</v>
      </c>
      <c r="L529" s="3">
        <v>0</v>
      </c>
      <c r="M529" s="3">
        <v>36</v>
      </c>
      <c r="N529" s="3" t="s">
        <v>128</v>
      </c>
      <c r="O529" s="3" t="s">
        <v>72</v>
      </c>
      <c r="P529" s="3" t="s">
        <v>73</v>
      </c>
      <c r="Q529" s="3">
        <v>4</v>
      </c>
      <c r="R529" s="3">
        <v>43086</v>
      </c>
      <c r="S529" s="3">
        <v>714</v>
      </c>
      <c r="T529" s="3" t="s">
        <v>29</v>
      </c>
      <c r="U529" s="3">
        <v>3</v>
      </c>
      <c r="V529" s="3">
        <v>1010</v>
      </c>
      <c r="W529" s="5" t="str">
        <f t="shared" si="32"/>
        <v>700-749</v>
      </c>
      <c r="X529" s="5" t="str">
        <f t="shared" si="33"/>
        <v>Low (&lt;=35%)</v>
      </c>
      <c r="Y529" s="5" t="str">
        <f t="shared" si="34"/>
        <v>Employed</v>
      </c>
      <c r="Z529" s="3" t="str">
        <f t="shared" si="35"/>
        <v>Debt &amp; Assets</v>
      </c>
    </row>
    <row r="530" spans="1:26" ht="17.399999999999999" x14ac:dyDescent="0.35">
      <c r="A530" s="3" t="s">
        <v>1048</v>
      </c>
      <c r="B530" s="3" t="s">
        <v>1049</v>
      </c>
      <c r="C530" s="4">
        <v>45440</v>
      </c>
      <c r="D530" s="3" t="s">
        <v>67</v>
      </c>
      <c r="E530" s="3">
        <v>44900</v>
      </c>
      <c r="F530" s="3">
        <v>24</v>
      </c>
      <c r="G530" s="3">
        <v>6.22</v>
      </c>
      <c r="H530" s="3">
        <v>1994.45</v>
      </c>
      <c r="I530" s="3">
        <v>49.4</v>
      </c>
      <c r="J530" s="3" t="s">
        <v>99</v>
      </c>
      <c r="K530" s="3">
        <v>30</v>
      </c>
      <c r="L530" s="3">
        <v>0</v>
      </c>
      <c r="M530" s="3">
        <v>44</v>
      </c>
      <c r="N530" s="3" t="s">
        <v>42</v>
      </c>
      <c r="O530" s="3" t="s">
        <v>72</v>
      </c>
      <c r="P530" s="3" t="s">
        <v>37</v>
      </c>
      <c r="Q530" s="3">
        <v>19</v>
      </c>
      <c r="R530" s="3">
        <v>63937</v>
      </c>
      <c r="S530" s="3">
        <v>850</v>
      </c>
      <c r="T530" s="3" t="s">
        <v>38</v>
      </c>
      <c r="U530" s="3">
        <v>3</v>
      </c>
      <c r="V530" s="3">
        <v>639</v>
      </c>
      <c r="W530" s="5" t="str">
        <f t="shared" si="32"/>
        <v>750+</v>
      </c>
      <c r="X530" s="5" t="str">
        <f t="shared" si="33"/>
        <v>Manageable (36-50%)</v>
      </c>
      <c r="Y530" s="5" t="str">
        <f t="shared" si="34"/>
        <v>Employed</v>
      </c>
      <c r="Z530" s="3" t="str">
        <f t="shared" si="35"/>
        <v>Debt &amp; Assets</v>
      </c>
    </row>
    <row r="531" spans="1:26" ht="17.399999999999999" x14ac:dyDescent="0.35">
      <c r="A531" s="3" t="s">
        <v>1050</v>
      </c>
      <c r="B531" s="3" t="s">
        <v>1051</v>
      </c>
      <c r="C531" s="4">
        <v>45616</v>
      </c>
      <c r="D531" s="3" t="s">
        <v>52</v>
      </c>
      <c r="E531" s="3">
        <v>12800</v>
      </c>
      <c r="F531" s="3">
        <v>24</v>
      </c>
      <c r="G531" s="3">
        <v>13.03</v>
      </c>
      <c r="H531" s="3">
        <v>608.72</v>
      </c>
      <c r="I531" s="3">
        <v>50.5</v>
      </c>
      <c r="J531" s="3" t="s">
        <v>32</v>
      </c>
      <c r="K531" s="3">
        <v>134</v>
      </c>
      <c r="L531" s="3">
        <v>1</v>
      </c>
      <c r="M531" s="3">
        <v>56</v>
      </c>
      <c r="N531" s="3" t="s">
        <v>36</v>
      </c>
      <c r="O531" s="3" t="s">
        <v>27</v>
      </c>
      <c r="P531" s="3" t="s">
        <v>28</v>
      </c>
      <c r="Q531" s="3">
        <v>1</v>
      </c>
      <c r="R531" s="3">
        <v>44456</v>
      </c>
      <c r="S531" s="3">
        <v>568</v>
      </c>
      <c r="T531" s="3" t="s">
        <v>29</v>
      </c>
      <c r="U531" s="3">
        <v>0</v>
      </c>
      <c r="V531" s="3">
        <v>1263</v>
      </c>
      <c r="W531" s="5" t="str">
        <f t="shared" si="32"/>
        <v>520-599</v>
      </c>
      <c r="X531" s="5" t="str">
        <f t="shared" si="33"/>
        <v>High (51-75%)</v>
      </c>
      <c r="Y531" s="5" t="str">
        <f t="shared" si="34"/>
        <v>Self-Employed</v>
      </c>
      <c r="Z531" s="3" t="str">
        <f t="shared" si="35"/>
        <v>Investment &amp; Growth</v>
      </c>
    </row>
    <row r="532" spans="1:26" ht="17.399999999999999" x14ac:dyDescent="0.35">
      <c r="A532" s="3" t="s">
        <v>1052</v>
      </c>
      <c r="B532" s="3" t="s">
        <v>1053</v>
      </c>
      <c r="C532" s="4">
        <v>45391</v>
      </c>
      <c r="D532" s="3" t="s">
        <v>67</v>
      </c>
      <c r="E532" s="3">
        <v>47300</v>
      </c>
      <c r="F532" s="3">
        <v>24</v>
      </c>
      <c r="G532" s="3">
        <v>12.12</v>
      </c>
      <c r="H532" s="3">
        <v>2229.23</v>
      </c>
      <c r="I532" s="3">
        <v>90.1</v>
      </c>
      <c r="J532" s="3" t="s">
        <v>32</v>
      </c>
      <c r="K532" s="3">
        <v>78</v>
      </c>
      <c r="L532" s="3">
        <v>1</v>
      </c>
      <c r="M532" s="3">
        <v>47</v>
      </c>
      <c r="N532" s="3" t="s">
        <v>119</v>
      </c>
      <c r="O532" s="3" t="s">
        <v>72</v>
      </c>
      <c r="P532" s="3" t="s">
        <v>37</v>
      </c>
      <c r="Q532" s="3">
        <v>17</v>
      </c>
      <c r="R532" s="3">
        <v>57745</v>
      </c>
      <c r="S532" s="3">
        <v>663</v>
      </c>
      <c r="T532" s="3" t="s">
        <v>29</v>
      </c>
      <c r="U532" s="3">
        <v>1</v>
      </c>
      <c r="V532" s="3">
        <v>2105</v>
      </c>
      <c r="W532" s="5" t="str">
        <f t="shared" si="32"/>
        <v>650-699</v>
      </c>
      <c r="X532" s="5" t="str">
        <f t="shared" si="33"/>
        <v>Critical (&gt;75%)</v>
      </c>
      <c r="Y532" s="5" t="str">
        <f t="shared" si="34"/>
        <v>Employed</v>
      </c>
      <c r="Z532" s="3" t="str">
        <f t="shared" si="35"/>
        <v>Debt &amp; Assets</v>
      </c>
    </row>
    <row r="533" spans="1:26" ht="17.399999999999999" x14ac:dyDescent="0.35">
      <c r="A533" s="3" t="s">
        <v>1054</v>
      </c>
      <c r="B533" s="3" t="s">
        <v>1055</v>
      </c>
      <c r="C533" s="4">
        <v>45487</v>
      </c>
      <c r="D533" s="3" t="s">
        <v>35</v>
      </c>
      <c r="E533" s="3">
        <v>30800</v>
      </c>
      <c r="F533" s="3">
        <v>24</v>
      </c>
      <c r="G533" s="3">
        <v>10.36</v>
      </c>
      <c r="H533" s="3">
        <v>1426.39</v>
      </c>
      <c r="I533" s="3">
        <v>45.1</v>
      </c>
      <c r="J533" s="3" t="s">
        <v>48</v>
      </c>
      <c r="K533" s="3">
        <v>0</v>
      </c>
      <c r="L533" s="3">
        <v>0</v>
      </c>
      <c r="M533" s="3">
        <v>45</v>
      </c>
      <c r="N533" s="3" t="s">
        <v>93</v>
      </c>
      <c r="O533" s="3" t="s">
        <v>43</v>
      </c>
      <c r="P533" s="3" t="s">
        <v>44</v>
      </c>
      <c r="Q533" s="3">
        <v>4</v>
      </c>
      <c r="R533" s="3">
        <v>78216</v>
      </c>
      <c r="S533" s="3">
        <v>683</v>
      </c>
      <c r="T533" s="3" t="s">
        <v>45</v>
      </c>
      <c r="U533" s="3">
        <v>0</v>
      </c>
      <c r="V533" s="3">
        <v>1511</v>
      </c>
      <c r="W533" s="5" t="str">
        <f t="shared" si="32"/>
        <v>650-699</v>
      </c>
      <c r="X533" s="5" t="str">
        <f t="shared" si="33"/>
        <v>Manageable (36-50%)</v>
      </c>
      <c r="Y533" s="5" t="str">
        <f t="shared" si="34"/>
        <v>Employed</v>
      </c>
      <c r="Z533" s="3" t="str">
        <f t="shared" si="35"/>
        <v>Consumer &amp; Personal</v>
      </c>
    </row>
    <row r="534" spans="1:26" ht="17.399999999999999" x14ac:dyDescent="0.35">
      <c r="A534" s="3" t="s">
        <v>1056</v>
      </c>
      <c r="B534" s="3" t="s">
        <v>1057</v>
      </c>
      <c r="C534" s="4">
        <v>45758</v>
      </c>
      <c r="D534" s="3" t="s">
        <v>67</v>
      </c>
      <c r="E534" s="3">
        <v>16700</v>
      </c>
      <c r="F534" s="3">
        <v>12</v>
      </c>
      <c r="G534" s="3">
        <v>9.33</v>
      </c>
      <c r="H534" s="3">
        <v>1463</v>
      </c>
      <c r="I534" s="3">
        <v>32</v>
      </c>
      <c r="J534" s="3" t="s">
        <v>25</v>
      </c>
      <c r="K534" s="3">
        <v>0</v>
      </c>
      <c r="L534" s="3">
        <v>0</v>
      </c>
      <c r="M534" s="3">
        <v>22</v>
      </c>
      <c r="N534" s="3" t="s">
        <v>93</v>
      </c>
      <c r="O534" s="3" t="s">
        <v>43</v>
      </c>
      <c r="P534" s="3" t="s">
        <v>44</v>
      </c>
      <c r="Q534" s="3">
        <v>2</v>
      </c>
      <c r="R534" s="3">
        <v>92057</v>
      </c>
      <c r="S534" s="3">
        <v>850</v>
      </c>
      <c r="T534" s="3" t="s">
        <v>38</v>
      </c>
      <c r="U534" s="3">
        <v>0</v>
      </c>
      <c r="V534" s="3">
        <v>994</v>
      </c>
      <c r="W534" s="5" t="str">
        <f t="shared" si="32"/>
        <v>750+</v>
      </c>
      <c r="X534" s="5" t="str">
        <f t="shared" si="33"/>
        <v>Low (&lt;=35%)</v>
      </c>
      <c r="Y534" s="5" t="str">
        <f t="shared" si="34"/>
        <v>Employed</v>
      </c>
      <c r="Z534" s="3" t="str">
        <f t="shared" si="35"/>
        <v>Debt &amp; Assets</v>
      </c>
    </row>
    <row r="535" spans="1:26" ht="17.399999999999999" x14ac:dyDescent="0.35">
      <c r="A535" s="3" t="s">
        <v>1058</v>
      </c>
      <c r="B535" s="3" t="s">
        <v>1057</v>
      </c>
      <c r="C535" s="4">
        <v>45761</v>
      </c>
      <c r="D535" s="3" t="s">
        <v>31</v>
      </c>
      <c r="E535" s="3">
        <v>38700</v>
      </c>
      <c r="F535" s="3">
        <v>12</v>
      </c>
      <c r="G535" s="3">
        <v>10.47</v>
      </c>
      <c r="H535" s="3">
        <v>3410.81</v>
      </c>
      <c r="I535" s="3">
        <v>57.4</v>
      </c>
      <c r="J535" s="3" t="s">
        <v>48</v>
      </c>
      <c r="K535" s="3">
        <v>0</v>
      </c>
      <c r="L535" s="3">
        <v>0</v>
      </c>
      <c r="M535" s="3">
        <v>22</v>
      </c>
      <c r="N535" s="3" t="s">
        <v>93</v>
      </c>
      <c r="O535" s="3" t="s">
        <v>43</v>
      </c>
      <c r="P535" s="3" t="s">
        <v>44</v>
      </c>
      <c r="Q535" s="3">
        <v>2</v>
      </c>
      <c r="R535" s="3">
        <v>92057</v>
      </c>
      <c r="S535" s="3">
        <v>850</v>
      </c>
      <c r="T535" s="3" t="s">
        <v>38</v>
      </c>
      <c r="U535" s="3">
        <v>0</v>
      </c>
      <c r="V535" s="3">
        <v>994</v>
      </c>
      <c r="W535" s="5" t="str">
        <f t="shared" si="32"/>
        <v>750+</v>
      </c>
      <c r="X535" s="5" t="str">
        <f t="shared" si="33"/>
        <v>High (51-75%)</v>
      </c>
      <c r="Y535" s="5" t="str">
        <f t="shared" si="34"/>
        <v>Employed</v>
      </c>
      <c r="Z535" s="3" t="str">
        <f t="shared" si="35"/>
        <v>Debt &amp; Assets</v>
      </c>
    </row>
    <row r="536" spans="1:26" ht="17.399999999999999" x14ac:dyDescent="0.35">
      <c r="A536" s="3" t="s">
        <v>1059</v>
      </c>
      <c r="B536" s="3" t="s">
        <v>1060</v>
      </c>
      <c r="C536" s="4">
        <v>45393</v>
      </c>
      <c r="D536" s="3" t="s">
        <v>31</v>
      </c>
      <c r="E536" s="3">
        <v>33700</v>
      </c>
      <c r="F536" s="3">
        <v>48</v>
      </c>
      <c r="G536" s="3">
        <v>9.89</v>
      </c>
      <c r="H536" s="3">
        <v>852.94</v>
      </c>
      <c r="I536" s="3">
        <v>15.6</v>
      </c>
      <c r="J536" s="3" t="s">
        <v>48</v>
      </c>
      <c r="K536" s="3">
        <v>0</v>
      </c>
      <c r="L536" s="3">
        <v>0</v>
      </c>
      <c r="M536" s="3">
        <v>58</v>
      </c>
      <c r="N536" s="3" t="s">
        <v>179</v>
      </c>
      <c r="O536" s="3" t="s">
        <v>72</v>
      </c>
      <c r="P536" s="3" t="s">
        <v>28</v>
      </c>
      <c r="Q536" s="3">
        <v>22</v>
      </c>
      <c r="R536" s="3">
        <v>137631</v>
      </c>
      <c r="S536" s="3">
        <v>797</v>
      </c>
      <c r="T536" s="3" t="s">
        <v>38</v>
      </c>
      <c r="U536" s="3">
        <v>1</v>
      </c>
      <c r="V536" s="3">
        <v>933</v>
      </c>
      <c r="W536" s="5" t="str">
        <f t="shared" si="32"/>
        <v>750+</v>
      </c>
      <c r="X536" s="5" t="str">
        <f t="shared" si="33"/>
        <v>Low (&lt;=35%)</v>
      </c>
      <c r="Y536" s="5" t="str">
        <f t="shared" si="34"/>
        <v>Self-Employed</v>
      </c>
      <c r="Z536" s="3" t="str">
        <f t="shared" si="35"/>
        <v>Debt &amp; Assets</v>
      </c>
    </row>
    <row r="537" spans="1:26" ht="17.399999999999999" x14ac:dyDescent="0.35">
      <c r="A537" s="3" t="s">
        <v>1061</v>
      </c>
      <c r="B537" s="3" t="s">
        <v>1062</v>
      </c>
      <c r="C537" s="4">
        <v>45394</v>
      </c>
      <c r="D537" s="3" t="s">
        <v>77</v>
      </c>
      <c r="E537" s="3">
        <v>7000</v>
      </c>
      <c r="F537" s="3">
        <v>60</v>
      </c>
      <c r="G537" s="3">
        <v>12.74</v>
      </c>
      <c r="H537" s="3">
        <v>158.34</v>
      </c>
      <c r="I537" s="3">
        <v>10.5</v>
      </c>
      <c r="J537" s="3" t="s">
        <v>25</v>
      </c>
      <c r="K537" s="3">
        <v>0</v>
      </c>
      <c r="L537" s="3">
        <v>0</v>
      </c>
      <c r="M537" s="3">
        <v>45</v>
      </c>
      <c r="N537" s="3" t="s">
        <v>105</v>
      </c>
      <c r="O537" s="3" t="s">
        <v>79</v>
      </c>
      <c r="P537" s="3" t="s">
        <v>28</v>
      </c>
      <c r="Q537" s="3">
        <v>12</v>
      </c>
      <c r="R537" s="3">
        <v>53326</v>
      </c>
      <c r="S537" s="3">
        <v>714</v>
      </c>
      <c r="T537" s="3" t="s">
        <v>45</v>
      </c>
      <c r="U537" s="3">
        <v>3</v>
      </c>
      <c r="V537" s="3">
        <v>310</v>
      </c>
      <c r="W537" s="5" t="str">
        <f t="shared" si="32"/>
        <v>700-749</v>
      </c>
      <c r="X537" s="5" t="str">
        <f t="shared" si="33"/>
        <v>Low (&lt;=35%)</v>
      </c>
      <c r="Y537" s="5" t="str">
        <f t="shared" si="34"/>
        <v>Self-Employed</v>
      </c>
      <c r="Z537" s="3" t="str">
        <f t="shared" si="35"/>
        <v>Consumer &amp; Personal</v>
      </c>
    </row>
    <row r="538" spans="1:26" ht="17.399999999999999" x14ac:dyDescent="0.35">
      <c r="A538" s="3" t="s">
        <v>1063</v>
      </c>
      <c r="B538" s="3" t="s">
        <v>1064</v>
      </c>
      <c r="C538" s="4">
        <v>45492</v>
      </c>
      <c r="D538" s="3" t="s">
        <v>31</v>
      </c>
      <c r="E538" s="3">
        <v>23500</v>
      </c>
      <c r="F538" s="3">
        <v>60</v>
      </c>
      <c r="G538" s="3">
        <v>10.74</v>
      </c>
      <c r="H538" s="3">
        <v>507.91</v>
      </c>
      <c r="I538" s="3">
        <v>49.1</v>
      </c>
      <c r="J538" s="3" t="s">
        <v>99</v>
      </c>
      <c r="K538" s="3">
        <v>30</v>
      </c>
      <c r="L538" s="3">
        <v>0</v>
      </c>
      <c r="M538" s="3">
        <v>63</v>
      </c>
      <c r="N538" s="3" t="s">
        <v>167</v>
      </c>
      <c r="O538" s="3" t="s">
        <v>79</v>
      </c>
      <c r="P538" s="3" t="s">
        <v>28</v>
      </c>
      <c r="Q538" s="3">
        <v>16</v>
      </c>
      <c r="R538" s="3">
        <v>53487</v>
      </c>
      <c r="S538" s="3">
        <v>670</v>
      </c>
      <c r="T538" s="3" t="s">
        <v>45</v>
      </c>
      <c r="U538" s="3">
        <v>0</v>
      </c>
      <c r="V538" s="3">
        <v>1679</v>
      </c>
      <c r="W538" s="5" t="str">
        <f t="shared" si="32"/>
        <v>650-699</v>
      </c>
      <c r="X538" s="5" t="str">
        <f t="shared" si="33"/>
        <v>Manageable (36-50%)</v>
      </c>
      <c r="Y538" s="5" t="str">
        <f t="shared" si="34"/>
        <v>Self-Employed</v>
      </c>
      <c r="Z538" s="3" t="str">
        <f t="shared" si="35"/>
        <v>Debt &amp; Assets</v>
      </c>
    </row>
    <row r="539" spans="1:26" ht="17.399999999999999" x14ac:dyDescent="0.35">
      <c r="A539" s="3" t="s">
        <v>1065</v>
      </c>
      <c r="B539" s="3" t="s">
        <v>1066</v>
      </c>
      <c r="C539" s="4">
        <v>45675</v>
      </c>
      <c r="D539" s="3" t="s">
        <v>24</v>
      </c>
      <c r="E539" s="3">
        <v>30100</v>
      </c>
      <c r="F539" s="3">
        <v>48</v>
      </c>
      <c r="G539" s="3">
        <v>9.07</v>
      </c>
      <c r="H539" s="3">
        <v>750.04</v>
      </c>
      <c r="I539" s="3">
        <v>42.4</v>
      </c>
      <c r="J539" s="3" t="s">
        <v>48</v>
      </c>
      <c r="K539" s="3">
        <v>0</v>
      </c>
      <c r="L539" s="3">
        <v>0</v>
      </c>
      <c r="M539" s="3">
        <v>45</v>
      </c>
      <c r="N539" s="3" t="s">
        <v>62</v>
      </c>
      <c r="O539" s="3" t="s">
        <v>43</v>
      </c>
      <c r="P539" s="3" t="s">
        <v>44</v>
      </c>
      <c r="Q539" s="3">
        <v>12</v>
      </c>
      <c r="R539" s="3">
        <v>45566</v>
      </c>
      <c r="S539" s="3">
        <v>658</v>
      </c>
      <c r="T539" s="3" t="s">
        <v>29</v>
      </c>
      <c r="U539" s="3">
        <v>1</v>
      </c>
      <c r="V539" s="3">
        <v>859</v>
      </c>
      <c r="W539" s="5" t="str">
        <f t="shared" si="32"/>
        <v>650-699</v>
      </c>
      <c r="X539" s="5" t="str">
        <f t="shared" si="33"/>
        <v>Manageable (36-50%)</v>
      </c>
      <c r="Y539" s="5" t="str">
        <f t="shared" si="34"/>
        <v>Employed</v>
      </c>
      <c r="Z539" s="3" t="str">
        <f t="shared" si="35"/>
        <v>Consumer &amp; Personal</v>
      </c>
    </row>
    <row r="540" spans="1:26" ht="17.399999999999999" x14ac:dyDescent="0.35">
      <c r="A540" s="3" t="s">
        <v>1067</v>
      </c>
      <c r="B540" s="3" t="s">
        <v>1068</v>
      </c>
      <c r="C540" s="4">
        <v>45296</v>
      </c>
      <c r="D540" s="3" t="s">
        <v>41</v>
      </c>
      <c r="E540" s="3">
        <v>40200</v>
      </c>
      <c r="F540" s="3">
        <v>48</v>
      </c>
      <c r="G540" s="3">
        <v>10.18</v>
      </c>
      <c r="H540" s="3">
        <v>1023.05</v>
      </c>
      <c r="I540" s="3">
        <v>52.7</v>
      </c>
      <c r="J540" s="3" t="s">
        <v>48</v>
      </c>
      <c r="K540" s="3">
        <v>0</v>
      </c>
      <c r="L540" s="3">
        <v>0</v>
      </c>
      <c r="M540" s="3">
        <v>44</v>
      </c>
      <c r="N540" s="3" t="s">
        <v>62</v>
      </c>
      <c r="O540" s="3" t="s">
        <v>43</v>
      </c>
      <c r="P540" s="3" t="s">
        <v>37</v>
      </c>
      <c r="Q540" s="3">
        <v>4</v>
      </c>
      <c r="R540" s="3">
        <v>79148</v>
      </c>
      <c r="S540" s="3">
        <v>791</v>
      </c>
      <c r="T540" s="3" t="s">
        <v>45</v>
      </c>
      <c r="U540" s="3">
        <v>0</v>
      </c>
      <c r="V540" s="3">
        <v>2451</v>
      </c>
      <c r="W540" s="5" t="str">
        <f t="shared" si="32"/>
        <v>750+</v>
      </c>
      <c r="X540" s="5" t="str">
        <f t="shared" si="33"/>
        <v>High (51-75%)</v>
      </c>
      <c r="Y540" s="5" t="str">
        <f t="shared" si="34"/>
        <v>Employed</v>
      </c>
      <c r="Z540" s="3" t="str">
        <f t="shared" si="35"/>
        <v>Debt &amp; Assets</v>
      </c>
    </row>
    <row r="541" spans="1:26" ht="17.399999999999999" x14ac:dyDescent="0.35">
      <c r="A541" s="3" t="s">
        <v>1069</v>
      </c>
      <c r="B541" s="3" t="s">
        <v>1070</v>
      </c>
      <c r="C541" s="4">
        <v>45466</v>
      </c>
      <c r="D541" s="3" t="s">
        <v>52</v>
      </c>
      <c r="E541" s="3">
        <v>26900</v>
      </c>
      <c r="F541" s="3">
        <v>60</v>
      </c>
      <c r="G541" s="3">
        <v>11.75</v>
      </c>
      <c r="H541" s="3">
        <v>594.98</v>
      </c>
      <c r="I541" s="3">
        <v>45.4</v>
      </c>
      <c r="J541" s="3" t="s">
        <v>99</v>
      </c>
      <c r="K541" s="3">
        <v>30</v>
      </c>
      <c r="L541" s="3">
        <v>0</v>
      </c>
      <c r="M541" s="3">
        <v>35</v>
      </c>
      <c r="N541" s="3" t="s">
        <v>128</v>
      </c>
      <c r="O541" s="3" t="s">
        <v>27</v>
      </c>
      <c r="P541" s="3" t="s">
        <v>37</v>
      </c>
      <c r="Q541" s="3">
        <v>7</v>
      </c>
      <c r="R541" s="3">
        <v>43591</v>
      </c>
      <c r="S541" s="3">
        <v>590</v>
      </c>
      <c r="T541" s="3" t="s">
        <v>45</v>
      </c>
      <c r="U541" s="3">
        <v>2</v>
      </c>
      <c r="V541" s="3">
        <v>1056</v>
      </c>
      <c r="W541" s="5" t="str">
        <f t="shared" si="32"/>
        <v>520-599</v>
      </c>
      <c r="X541" s="5" t="str">
        <f t="shared" si="33"/>
        <v>Manageable (36-50%)</v>
      </c>
      <c r="Y541" s="5" t="str">
        <f t="shared" si="34"/>
        <v>Employed</v>
      </c>
      <c r="Z541" s="3" t="str">
        <f t="shared" si="35"/>
        <v>Investment &amp; Growth</v>
      </c>
    </row>
    <row r="542" spans="1:26" ht="17.399999999999999" x14ac:dyDescent="0.35">
      <c r="A542" s="3" t="s">
        <v>1071</v>
      </c>
      <c r="B542" s="3" t="s">
        <v>1072</v>
      </c>
      <c r="C542" s="4">
        <v>45731</v>
      </c>
      <c r="D542" s="3" t="s">
        <v>64</v>
      </c>
      <c r="E542" s="3">
        <v>19600</v>
      </c>
      <c r="F542" s="3">
        <v>12</v>
      </c>
      <c r="G542" s="3">
        <v>11.67</v>
      </c>
      <c r="H542" s="3">
        <v>1738.41</v>
      </c>
      <c r="I542" s="3">
        <v>59.4</v>
      </c>
      <c r="J542" s="3" t="s">
        <v>32</v>
      </c>
      <c r="K542" s="3">
        <v>129</v>
      </c>
      <c r="L542" s="3">
        <v>1</v>
      </c>
      <c r="M542" s="3">
        <v>52</v>
      </c>
      <c r="N542" s="3" t="s">
        <v>203</v>
      </c>
      <c r="O542" s="3" t="s">
        <v>43</v>
      </c>
      <c r="P542" s="3" t="s">
        <v>73</v>
      </c>
      <c r="Q542" s="3">
        <v>1</v>
      </c>
      <c r="R542" s="3">
        <v>45042</v>
      </c>
      <c r="S542" s="3">
        <v>740</v>
      </c>
      <c r="T542" s="3" t="s">
        <v>38</v>
      </c>
      <c r="U542" s="3">
        <v>2</v>
      </c>
      <c r="V542" s="3">
        <v>490</v>
      </c>
      <c r="W542" s="5" t="str">
        <f t="shared" si="32"/>
        <v>700-749</v>
      </c>
      <c r="X542" s="5" t="str">
        <f t="shared" si="33"/>
        <v>High (51-75%)</v>
      </c>
      <c r="Y542" s="5" t="str">
        <f t="shared" si="34"/>
        <v>Employed</v>
      </c>
      <c r="Z542" s="3" t="str">
        <f t="shared" si="35"/>
        <v>Investment &amp; Growth</v>
      </c>
    </row>
    <row r="543" spans="1:26" ht="17.399999999999999" x14ac:dyDescent="0.35">
      <c r="A543" s="3" t="s">
        <v>1073</v>
      </c>
      <c r="B543" s="3" t="s">
        <v>1072</v>
      </c>
      <c r="C543" s="4">
        <v>45393</v>
      </c>
      <c r="D543" s="3" t="s">
        <v>56</v>
      </c>
      <c r="E543" s="3">
        <v>12600</v>
      </c>
      <c r="F543" s="3">
        <v>24</v>
      </c>
      <c r="G543" s="3">
        <v>9.85</v>
      </c>
      <c r="H543" s="3">
        <v>580.54999999999995</v>
      </c>
      <c r="I543" s="3">
        <v>28.5</v>
      </c>
      <c r="J543" s="3" t="s">
        <v>48</v>
      </c>
      <c r="K543" s="3">
        <v>0</v>
      </c>
      <c r="L543" s="3">
        <v>0</v>
      </c>
      <c r="M543" s="3">
        <v>52</v>
      </c>
      <c r="N543" s="3" t="s">
        <v>203</v>
      </c>
      <c r="O543" s="3" t="s">
        <v>43</v>
      </c>
      <c r="P543" s="3" t="s">
        <v>73</v>
      </c>
      <c r="Q543" s="3">
        <v>1</v>
      </c>
      <c r="R543" s="3">
        <v>45042</v>
      </c>
      <c r="S543" s="3">
        <v>740</v>
      </c>
      <c r="T543" s="3" t="s">
        <v>38</v>
      </c>
      <c r="U543" s="3">
        <v>2</v>
      </c>
      <c r="V543" s="3">
        <v>490</v>
      </c>
      <c r="W543" s="5" t="str">
        <f t="shared" si="32"/>
        <v>700-749</v>
      </c>
      <c r="X543" s="5" t="str">
        <f t="shared" si="33"/>
        <v>Low (&lt;=35%)</v>
      </c>
      <c r="Y543" s="5" t="str">
        <f t="shared" si="34"/>
        <v>Employed</v>
      </c>
      <c r="Z543" s="3" t="str">
        <f t="shared" si="35"/>
        <v>Consumer &amp; Personal</v>
      </c>
    </row>
    <row r="544" spans="1:26" ht="17.399999999999999" x14ac:dyDescent="0.35">
      <c r="A544" s="3" t="s">
        <v>1074</v>
      </c>
      <c r="B544" s="3" t="s">
        <v>1075</v>
      </c>
      <c r="C544" s="4">
        <v>45454</v>
      </c>
      <c r="D544" s="3" t="s">
        <v>31</v>
      </c>
      <c r="E544" s="3">
        <v>32100</v>
      </c>
      <c r="F544" s="3">
        <v>36</v>
      </c>
      <c r="G544" s="3">
        <v>13.94</v>
      </c>
      <c r="H544" s="3">
        <v>1096.17</v>
      </c>
      <c r="I544" s="3">
        <v>61.3</v>
      </c>
      <c r="J544" s="3" t="s">
        <v>48</v>
      </c>
      <c r="K544" s="3">
        <v>0</v>
      </c>
      <c r="L544" s="3">
        <v>0</v>
      </c>
      <c r="M544" s="3">
        <v>62</v>
      </c>
      <c r="N544" s="3" t="s">
        <v>93</v>
      </c>
      <c r="O544" s="3" t="s">
        <v>43</v>
      </c>
      <c r="P544" s="3" t="s">
        <v>44</v>
      </c>
      <c r="Q544" s="3">
        <v>16</v>
      </c>
      <c r="R544" s="3">
        <v>49969</v>
      </c>
      <c r="S544" s="3">
        <v>615</v>
      </c>
      <c r="T544" s="3" t="s">
        <v>29</v>
      </c>
      <c r="U544" s="3">
        <v>4</v>
      </c>
      <c r="V544" s="3">
        <v>1456</v>
      </c>
      <c r="W544" s="5" t="str">
        <f t="shared" si="32"/>
        <v>600-649</v>
      </c>
      <c r="X544" s="5" t="str">
        <f t="shared" si="33"/>
        <v>High (51-75%)</v>
      </c>
      <c r="Y544" s="5" t="str">
        <f t="shared" si="34"/>
        <v>Employed</v>
      </c>
      <c r="Z544" s="3" t="str">
        <f t="shared" si="35"/>
        <v>Debt &amp; Assets</v>
      </c>
    </row>
    <row r="545" spans="1:26" ht="17.399999999999999" x14ac:dyDescent="0.35">
      <c r="A545" s="3" t="s">
        <v>1076</v>
      </c>
      <c r="B545" s="3" t="s">
        <v>1077</v>
      </c>
      <c r="C545" s="4">
        <v>45372</v>
      </c>
      <c r="D545" s="3" t="s">
        <v>77</v>
      </c>
      <c r="E545" s="3">
        <v>26800</v>
      </c>
      <c r="F545" s="3">
        <v>60</v>
      </c>
      <c r="G545" s="3">
        <v>13.19</v>
      </c>
      <c r="H545" s="3">
        <v>612.39</v>
      </c>
      <c r="I545" s="3">
        <v>56.8</v>
      </c>
      <c r="J545" s="3" t="s">
        <v>25</v>
      </c>
      <c r="K545" s="3">
        <v>0</v>
      </c>
      <c r="L545" s="3">
        <v>0</v>
      </c>
      <c r="M545" s="3">
        <v>58</v>
      </c>
      <c r="N545" s="3" t="s">
        <v>262</v>
      </c>
      <c r="O545" s="3" t="s">
        <v>43</v>
      </c>
      <c r="P545" s="3" t="s">
        <v>44</v>
      </c>
      <c r="Q545" s="3">
        <v>5</v>
      </c>
      <c r="R545" s="3">
        <v>87044</v>
      </c>
      <c r="S545" s="3">
        <v>685</v>
      </c>
      <c r="T545" s="3" t="s">
        <v>38</v>
      </c>
      <c r="U545" s="3">
        <v>4</v>
      </c>
      <c r="V545" s="3">
        <v>3508</v>
      </c>
      <c r="W545" s="5" t="str">
        <f t="shared" si="32"/>
        <v>650-699</v>
      </c>
      <c r="X545" s="5" t="str">
        <f t="shared" si="33"/>
        <v>High (51-75%)</v>
      </c>
      <c r="Y545" s="5" t="str">
        <f t="shared" si="34"/>
        <v>Employed</v>
      </c>
      <c r="Z545" s="3" t="str">
        <f t="shared" si="35"/>
        <v>Consumer &amp; Personal</v>
      </c>
    </row>
    <row r="546" spans="1:26" ht="17.399999999999999" x14ac:dyDescent="0.35">
      <c r="A546" s="3" t="s">
        <v>1078</v>
      </c>
      <c r="B546" s="3" t="s">
        <v>1079</v>
      </c>
      <c r="C546" s="4">
        <v>45543</v>
      </c>
      <c r="D546" s="3" t="s">
        <v>52</v>
      </c>
      <c r="E546" s="3">
        <v>13000</v>
      </c>
      <c r="F546" s="3">
        <v>24</v>
      </c>
      <c r="G546" s="3">
        <v>7.77</v>
      </c>
      <c r="H546" s="3">
        <v>586.59</v>
      </c>
      <c r="I546" s="3">
        <v>32.9</v>
      </c>
      <c r="J546" s="3" t="s">
        <v>48</v>
      </c>
      <c r="K546" s="3">
        <v>0</v>
      </c>
      <c r="L546" s="3">
        <v>0</v>
      </c>
      <c r="M546" s="3">
        <v>32</v>
      </c>
      <c r="N546" s="3" t="s">
        <v>135</v>
      </c>
      <c r="O546" s="3" t="s">
        <v>79</v>
      </c>
      <c r="P546" s="3" t="s">
        <v>37</v>
      </c>
      <c r="Q546" s="3">
        <v>12</v>
      </c>
      <c r="R546" s="3">
        <v>35993</v>
      </c>
      <c r="S546" s="3">
        <v>823</v>
      </c>
      <c r="T546" s="3" t="s">
        <v>38</v>
      </c>
      <c r="U546" s="3">
        <v>1</v>
      </c>
      <c r="V546" s="3">
        <v>401</v>
      </c>
      <c r="W546" s="5" t="str">
        <f t="shared" si="32"/>
        <v>750+</v>
      </c>
      <c r="X546" s="5" t="str">
        <f t="shared" si="33"/>
        <v>Low (&lt;=35%)</v>
      </c>
      <c r="Y546" s="5" t="str">
        <f t="shared" si="34"/>
        <v>Employed</v>
      </c>
      <c r="Z546" s="3" t="str">
        <f t="shared" si="35"/>
        <v>Investment &amp; Growth</v>
      </c>
    </row>
    <row r="547" spans="1:26" ht="17.399999999999999" x14ac:dyDescent="0.35">
      <c r="A547" s="3" t="s">
        <v>1080</v>
      </c>
      <c r="B547" s="3" t="s">
        <v>1079</v>
      </c>
      <c r="C547" s="4">
        <v>45397</v>
      </c>
      <c r="D547" s="3" t="s">
        <v>41</v>
      </c>
      <c r="E547" s="3">
        <v>12200</v>
      </c>
      <c r="F547" s="3">
        <v>24</v>
      </c>
      <c r="G547" s="3">
        <v>9.42</v>
      </c>
      <c r="H547" s="3">
        <v>559.71</v>
      </c>
      <c r="I547" s="3">
        <v>32</v>
      </c>
      <c r="J547" s="3" t="s">
        <v>99</v>
      </c>
      <c r="K547" s="3">
        <v>15</v>
      </c>
      <c r="L547" s="3">
        <v>0</v>
      </c>
      <c r="M547" s="3">
        <v>32</v>
      </c>
      <c r="N547" s="3" t="s">
        <v>135</v>
      </c>
      <c r="O547" s="3" t="s">
        <v>79</v>
      </c>
      <c r="P547" s="3" t="s">
        <v>37</v>
      </c>
      <c r="Q547" s="3">
        <v>12</v>
      </c>
      <c r="R547" s="3">
        <v>35993</v>
      </c>
      <c r="S547" s="3">
        <v>823</v>
      </c>
      <c r="T547" s="3" t="s">
        <v>38</v>
      </c>
      <c r="U547" s="3">
        <v>1</v>
      </c>
      <c r="V547" s="3">
        <v>401</v>
      </c>
      <c r="W547" s="5" t="str">
        <f t="shared" si="32"/>
        <v>750+</v>
      </c>
      <c r="X547" s="5" t="str">
        <f t="shared" si="33"/>
        <v>Low (&lt;=35%)</v>
      </c>
      <c r="Y547" s="5" t="str">
        <f t="shared" si="34"/>
        <v>Employed</v>
      </c>
      <c r="Z547" s="3" t="str">
        <f t="shared" si="35"/>
        <v>Debt &amp; Assets</v>
      </c>
    </row>
    <row r="548" spans="1:26" ht="17.399999999999999" x14ac:dyDescent="0.35">
      <c r="A548" s="3" t="s">
        <v>1081</v>
      </c>
      <c r="B548" s="3" t="s">
        <v>1082</v>
      </c>
      <c r="C548" s="4">
        <v>45504</v>
      </c>
      <c r="D548" s="3" t="s">
        <v>41</v>
      </c>
      <c r="E548" s="3">
        <v>6500</v>
      </c>
      <c r="F548" s="3">
        <v>48</v>
      </c>
      <c r="G548" s="3">
        <v>13.44</v>
      </c>
      <c r="H548" s="3">
        <v>175.8</v>
      </c>
      <c r="I548" s="3">
        <v>34.799999999999997</v>
      </c>
      <c r="J548" s="3" t="s">
        <v>48</v>
      </c>
      <c r="K548" s="3">
        <v>0</v>
      </c>
      <c r="L548" s="3">
        <v>0</v>
      </c>
      <c r="M548" s="3">
        <v>65</v>
      </c>
      <c r="N548" s="3" t="s">
        <v>84</v>
      </c>
      <c r="O548" s="3" t="s">
        <v>79</v>
      </c>
      <c r="P548" s="3" t="s">
        <v>37</v>
      </c>
      <c r="Q548" s="3">
        <v>24</v>
      </c>
      <c r="R548" s="3">
        <v>56685</v>
      </c>
      <c r="S548" s="3">
        <v>647</v>
      </c>
      <c r="T548" s="3" t="s">
        <v>45</v>
      </c>
      <c r="U548" s="3">
        <v>0</v>
      </c>
      <c r="V548" s="3">
        <v>1470</v>
      </c>
      <c r="W548" s="5" t="str">
        <f t="shared" si="32"/>
        <v>600-649</v>
      </c>
      <c r="X548" s="5" t="str">
        <f t="shared" si="33"/>
        <v>Low (&lt;=35%)</v>
      </c>
      <c r="Y548" s="5" t="str">
        <f t="shared" si="34"/>
        <v>Employed</v>
      </c>
      <c r="Z548" s="3" t="str">
        <f t="shared" si="35"/>
        <v>Debt &amp; Assets</v>
      </c>
    </row>
    <row r="549" spans="1:26" ht="17.399999999999999" x14ac:dyDescent="0.35">
      <c r="A549" s="3" t="s">
        <v>1083</v>
      </c>
      <c r="B549" s="3" t="s">
        <v>1084</v>
      </c>
      <c r="C549" s="4">
        <v>45753</v>
      </c>
      <c r="D549" s="3" t="s">
        <v>61</v>
      </c>
      <c r="E549" s="3">
        <v>19500</v>
      </c>
      <c r="F549" s="3">
        <v>36</v>
      </c>
      <c r="G549" s="3">
        <v>12.75</v>
      </c>
      <c r="H549" s="3">
        <v>654.69000000000005</v>
      </c>
      <c r="I549" s="3">
        <v>54.1</v>
      </c>
      <c r="J549" s="3" t="s">
        <v>48</v>
      </c>
      <c r="K549" s="3">
        <v>0</v>
      </c>
      <c r="L549" s="3">
        <v>0</v>
      </c>
      <c r="M549" s="3">
        <v>54</v>
      </c>
      <c r="N549" s="3" t="s">
        <v>262</v>
      </c>
      <c r="O549" s="3" t="s">
        <v>43</v>
      </c>
      <c r="P549" s="3" t="s">
        <v>44</v>
      </c>
      <c r="Q549" s="3">
        <v>30</v>
      </c>
      <c r="R549" s="3">
        <v>79231</v>
      </c>
      <c r="S549" s="3">
        <v>625</v>
      </c>
      <c r="T549" s="3" t="s">
        <v>29</v>
      </c>
      <c r="U549" s="3">
        <v>0</v>
      </c>
      <c r="V549" s="3">
        <v>2917</v>
      </c>
      <c r="W549" s="5" t="str">
        <f t="shared" si="32"/>
        <v>600-649</v>
      </c>
      <c r="X549" s="5" t="str">
        <f t="shared" si="33"/>
        <v>High (51-75%)</v>
      </c>
      <c r="Y549" s="5" t="str">
        <f t="shared" si="34"/>
        <v>Employed</v>
      </c>
      <c r="Z549" s="3" t="str">
        <f t="shared" si="35"/>
        <v>Investment &amp; Growth</v>
      </c>
    </row>
    <row r="550" spans="1:26" ht="17.399999999999999" x14ac:dyDescent="0.35">
      <c r="A550" s="3" t="s">
        <v>1085</v>
      </c>
      <c r="B550" s="3" t="s">
        <v>1086</v>
      </c>
      <c r="C550" s="4">
        <v>45647</v>
      </c>
      <c r="D550" s="3" t="s">
        <v>77</v>
      </c>
      <c r="E550" s="3">
        <v>43000</v>
      </c>
      <c r="F550" s="3">
        <v>12</v>
      </c>
      <c r="G550" s="3">
        <v>10.71</v>
      </c>
      <c r="H550" s="3">
        <v>3794.6</v>
      </c>
      <c r="I550" s="3">
        <v>79.900000000000006</v>
      </c>
      <c r="J550" s="3" t="s">
        <v>48</v>
      </c>
      <c r="K550" s="3">
        <v>0</v>
      </c>
      <c r="L550" s="3">
        <v>0</v>
      </c>
      <c r="M550" s="3">
        <v>54</v>
      </c>
      <c r="N550" s="3" t="s">
        <v>26</v>
      </c>
      <c r="O550" s="3" t="s">
        <v>72</v>
      </c>
      <c r="P550" s="3" t="s">
        <v>37</v>
      </c>
      <c r="Q550" s="3">
        <v>34</v>
      </c>
      <c r="R550" s="3">
        <v>111175</v>
      </c>
      <c r="S550" s="3">
        <v>850</v>
      </c>
      <c r="T550" s="3" t="s">
        <v>29</v>
      </c>
      <c r="U550" s="3">
        <v>3</v>
      </c>
      <c r="V550" s="3">
        <v>3606</v>
      </c>
      <c r="W550" s="5" t="str">
        <f t="shared" si="32"/>
        <v>750+</v>
      </c>
      <c r="X550" s="5" t="str">
        <f t="shared" si="33"/>
        <v>Critical (&gt;75%)</v>
      </c>
      <c r="Y550" s="5" t="str">
        <f t="shared" si="34"/>
        <v>Employed</v>
      </c>
      <c r="Z550" s="3" t="str">
        <f t="shared" si="35"/>
        <v>Consumer &amp; Personal</v>
      </c>
    </row>
    <row r="551" spans="1:26" ht="17.399999999999999" x14ac:dyDescent="0.35">
      <c r="A551" s="3" t="s">
        <v>1087</v>
      </c>
      <c r="B551" s="3" t="s">
        <v>1088</v>
      </c>
      <c r="C551" s="4">
        <v>45822</v>
      </c>
      <c r="D551" s="3" t="s">
        <v>41</v>
      </c>
      <c r="E551" s="3">
        <v>11300</v>
      </c>
      <c r="F551" s="3">
        <v>12</v>
      </c>
      <c r="G551" s="3">
        <v>9.33</v>
      </c>
      <c r="H551" s="3">
        <v>989.93</v>
      </c>
      <c r="I551" s="3">
        <v>70.8</v>
      </c>
      <c r="J551" s="3" t="s">
        <v>25</v>
      </c>
      <c r="K551" s="3">
        <v>0</v>
      </c>
      <c r="L551" s="3">
        <v>0</v>
      </c>
      <c r="M551" s="3">
        <v>49</v>
      </c>
      <c r="N551" s="3" t="s">
        <v>68</v>
      </c>
      <c r="O551" s="3" t="s">
        <v>43</v>
      </c>
      <c r="P551" s="3" t="s">
        <v>37</v>
      </c>
      <c r="Q551" s="3">
        <v>13</v>
      </c>
      <c r="R551" s="3">
        <v>43371</v>
      </c>
      <c r="S551" s="3">
        <v>801</v>
      </c>
      <c r="T551" s="3" t="s">
        <v>38</v>
      </c>
      <c r="U551" s="3">
        <v>1</v>
      </c>
      <c r="V551" s="3">
        <v>1569</v>
      </c>
      <c r="W551" s="5" t="str">
        <f t="shared" si="32"/>
        <v>750+</v>
      </c>
      <c r="X551" s="5" t="str">
        <f t="shared" si="33"/>
        <v>High (51-75%)</v>
      </c>
      <c r="Y551" s="5" t="str">
        <f t="shared" si="34"/>
        <v>Employed</v>
      </c>
      <c r="Z551" s="3" t="str">
        <f t="shared" si="35"/>
        <v>Debt &amp; Assets</v>
      </c>
    </row>
    <row r="552" spans="1:26" ht="17.399999999999999" x14ac:dyDescent="0.35">
      <c r="A552" s="3" t="s">
        <v>1089</v>
      </c>
      <c r="B552" s="3" t="s">
        <v>1090</v>
      </c>
      <c r="C552" s="4">
        <v>45421</v>
      </c>
      <c r="D552" s="3" t="s">
        <v>64</v>
      </c>
      <c r="E552" s="3">
        <v>5900</v>
      </c>
      <c r="F552" s="3">
        <v>12</v>
      </c>
      <c r="G552" s="3">
        <v>9.74</v>
      </c>
      <c r="H552" s="3">
        <v>517.99</v>
      </c>
      <c r="I552" s="3">
        <v>23.6</v>
      </c>
      <c r="J552" s="3" t="s">
        <v>25</v>
      </c>
      <c r="K552" s="3">
        <v>0</v>
      </c>
      <c r="L552" s="3">
        <v>0</v>
      </c>
      <c r="M552" s="3">
        <v>44</v>
      </c>
      <c r="N552" s="3" t="s">
        <v>42</v>
      </c>
      <c r="O552" s="3" t="s">
        <v>43</v>
      </c>
      <c r="P552" s="3" t="s">
        <v>28</v>
      </c>
      <c r="Q552" s="3">
        <v>3</v>
      </c>
      <c r="R552" s="3">
        <v>89186</v>
      </c>
      <c r="S552" s="3">
        <v>834</v>
      </c>
      <c r="T552" s="3" t="s">
        <v>45</v>
      </c>
      <c r="U552" s="3">
        <v>1</v>
      </c>
      <c r="V552" s="3">
        <v>1235</v>
      </c>
      <c r="W552" s="5" t="str">
        <f t="shared" si="32"/>
        <v>750+</v>
      </c>
      <c r="X552" s="5" t="str">
        <f t="shared" si="33"/>
        <v>Low (&lt;=35%)</v>
      </c>
      <c r="Y552" s="5" t="str">
        <f t="shared" si="34"/>
        <v>Self-Employed</v>
      </c>
      <c r="Z552" s="3" t="str">
        <f t="shared" si="35"/>
        <v>Investment &amp; Growth</v>
      </c>
    </row>
    <row r="553" spans="1:26" ht="17.399999999999999" x14ac:dyDescent="0.35">
      <c r="A553" s="3" t="s">
        <v>1091</v>
      </c>
      <c r="B553" s="3" t="s">
        <v>1092</v>
      </c>
      <c r="C553" s="4">
        <v>45701</v>
      </c>
      <c r="D553" s="3" t="s">
        <v>35</v>
      </c>
      <c r="E553" s="3">
        <v>24400</v>
      </c>
      <c r="F553" s="3">
        <v>48</v>
      </c>
      <c r="G553" s="3">
        <v>11.75</v>
      </c>
      <c r="H553" s="3">
        <v>639.54999999999995</v>
      </c>
      <c r="I553" s="3">
        <v>47</v>
      </c>
      <c r="J553" s="3" t="s">
        <v>48</v>
      </c>
      <c r="K553" s="3">
        <v>0</v>
      </c>
      <c r="L553" s="3">
        <v>0</v>
      </c>
      <c r="M553" s="3">
        <v>27</v>
      </c>
      <c r="N553" s="3" t="s">
        <v>68</v>
      </c>
      <c r="O553" s="3" t="s">
        <v>79</v>
      </c>
      <c r="P553" s="3" t="s">
        <v>44</v>
      </c>
      <c r="Q553" s="3">
        <v>0</v>
      </c>
      <c r="R553" s="3">
        <v>48279</v>
      </c>
      <c r="S553" s="3">
        <v>626</v>
      </c>
      <c r="T553" s="3" t="s">
        <v>29</v>
      </c>
      <c r="U553" s="3">
        <v>0</v>
      </c>
      <c r="V553" s="3">
        <v>1252</v>
      </c>
      <c r="W553" s="5" t="str">
        <f t="shared" si="32"/>
        <v>600-649</v>
      </c>
      <c r="X553" s="5" t="str">
        <f t="shared" si="33"/>
        <v>Manageable (36-50%)</v>
      </c>
      <c r="Y553" s="5" t="str">
        <f t="shared" si="34"/>
        <v>Employed</v>
      </c>
      <c r="Z553" s="3" t="str">
        <f t="shared" si="35"/>
        <v>Consumer &amp; Personal</v>
      </c>
    </row>
    <row r="554" spans="1:26" ht="17.399999999999999" x14ac:dyDescent="0.35">
      <c r="A554" s="3" t="s">
        <v>1093</v>
      </c>
      <c r="B554" s="3" t="s">
        <v>1094</v>
      </c>
      <c r="C554" s="4">
        <v>45502</v>
      </c>
      <c r="D554" s="3" t="s">
        <v>41</v>
      </c>
      <c r="E554" s="3">
        <v>6900</v>
      </c>
      <c r="F554" s="3">
        <v>60</v>
      </c>
      <c r="G554" s="3">
        <v>10.039999999999999</v>
      </c>
      <c r="H554" s="3">
        <v>146.74</v>
      </c>
      <c r="I554" s="3">
        <v>38</v>
      </c>
      <c r="J554" s="3" t="s">
        <v>25</v>
      </c>
      <c r="K554" s="3">
        <v>0</v>
      </c>
      <c r="L554" s="3">
        <v>0</v>
      </c>
      <c r="M554" s="3">
        <v>55</v>
      </c>
      <c r="N554" s="3" t="s">
        <v>203</v>
      </c>
      <c r="O554" s="3" t="s">
        <v>27</v>
      </c>
      <c r="P554" s="3" t="s">
        <v>28</v>
      </c>
      <c r="Q554" s="3">
        <v>26</v>
      </c>
      <c r="R554" s="3">
        <v>46609</v>
      </c>
      <c r="S554" s="3">
        <v>691</v>
      </c>
      <c r="T554" s="3" t="s">
        <v>45</v>
      </c>
      <c r="U554" s="3">
        <v>1</v>
      </c>
      <c r="V554" s="3">
        <v>1331</v>
      </c>
      <c r="W554" s="5" t="str">
        <f t="shared" si="32"/>
        <v>650-699</v>
      </c>
      <c r="X554" s="5" t="str">
        <f t="shared" si="33"/>
        <v>Manageable (36-50%)</v>
      </c>
      <c r="Y554" s="5" t="str">
        <f t="shared" si="34"/>
        <v>Self-Employed</v>
      </c>
      <c r="Z554" s="3" t="str">
        <f t="shared" si="35"/>
        <v>Debt &amp; Assets</v>
      </c>
    </row>
    <row r="555" spans="1:26" ht="17.399999999999999" x14ac:dyDescent="0.35">
      <c r="A555" s="3" t="s">
        <v>1095</v>
      </c>
      <c r="B555" s="3" t="s">
        <v>1094</v>
      </c>
      <c r="C555" s="4">
        <v>45684</v>
      </c>
      <c r="D555" s="3" t="s">
        <v>31</v>
      </c>
      <c r="E555" s="3">
        <v>14300</v>
      </c>
      <c r="F555" s="3">
        <v>36</v>
      </c>
      <c r="G555" s="3">
        <v>11.6</v>
      </c>
      <c r="H555" s="3">
        <v>472.24</v>
      </c>
      <c r="I555" s="3">
        <v>46.4</v>
      </c>
      <c r="J555" s="3" t="s">
        <v>48</v>
      </c>
      <c r="K555" s="3">
        <v>0</v>
      </c>
      <c r="L555" s="3">
        <v>0</v>
      </c>
      <c r="M555" s="3">
        <v>55</v>
      </c>
      <c r="N555" s="3" t="s">
        <v>203</v>
      </c>
      <c r="O555" s="3" t="s">
        <v>27</v>
      </c>
      <c r="P555" s="3" t="s">
        <v>28</v>
      </c>
      <c r="Q555" s="3">
        <v>26</v>
      </c>
      <c r="R555" s="3">
        <v>46609</v>
      </c>
      <c r="S555" s="3">
        <v>691</v>
      </c>
      <c r="T555" s="3" t="s">
        <v>45</v>
      </c>
      <c r="U555" s="3">
        <v>1</v>
      </c>
      <c r="V555" s="3">
        <v>1331</v>
      </c>
      <c r="W555" s="5" t="str">
        <f t="shared" si="32"/>
        <v>650-699</v>
      </c>
      <c r="X555" s="5" t="str">
        <f t="shared" si="33"/>
        <v>Manageable (36-50%)</v>
      </c>
      <c r="Y555" s="5" t="str">
        <f t="shared" si="34"/>
        <v>Self-Employed</v>
      </c>
      <c r="Z555" s="3" t="str">
        <f t="shared" si="35"/>
        <v>Debt &amp; Assets</v>
      </c>
    </row>
    <row r="556" spans="1:26" ht="17.399999999999999" x14ac:dyDescent="0.35">
      <c r="A556" s="3" t="s">
        <v>1096</v>
      </c>
      <c r="B556" s="3" t="s">
        <v>1097</v>
      </c>
      <c r="C556" s="4">
        <v>45711</v>
      </c>
      <c r="D556" s="3" t="s">
        <v>61</v>
      </c>
      <c r="E556" s="3">
        <v>44700</v>
      </c>
      <c r="F556" s="3">
        <v>60</v>
      </c>
      <c r="G556" s="3">
        <v>9.92</v>
      </c>
      <c r="H556" s="3">
        <v>947.98</v>
      </c>
      <c r="I556" s="3">
        <v>46.1</v>
      </c>
      <c r="J556" s="3" t="s">
        <v>99</v>
      </c>
      <c r="K556" s="3">
        <v>0</v>
      </c>
      <c r="L556" s="3">
        <v>0</v>
      </c>
      <c r="M556" s="3">
        <v>38</v>
      </c>
      <c r="N556" s="3" t="s">
        <v>102</v>
      </c>
      <c r="O556" s="3" t="s">
        <v>72</v>
      </c>
      <c r="P556" s="3" t="s">
        <v>37</v>
      </c>
      <c r="Q556" s="3">
        <v>12</v>
      </c>
      <c r="R556" s="3">
        <v>85972</v>
      </c>
      <c r="S556" s="3">
        <v>681</v>
      </c>
      <c r="T556" s="3" t="s">
        <v>29</v>
      </c>
      <c r="U556" s="3">
        <v>2</v>
      </c>
      <c r="V556" s="3">
        <v>2355</v>
      </c>
      <c r="W556" s="5" t="str">
        <f t="shared" si="32"/>
        <v>650-699</v>
      </c>
      <c r="X556" s="5" t="str">
        <f t="shared" si="33"/>
        <v>Manageable (36-50%)</v>
      </c>
      <c r="Y556" s="5" t="str">
        <f t="shared" si="34"/>
        <v>Employed</v>
      </c>
      <c r="Z556" s="3" t="str">
        <f t="shared" si="35"/>
        <v>Investment &amp; Growth</v>
      </c>
    </row>
    <row r="557" spans="1:26" ht="17.399999999999999" x14ac:dyDescent="0.35">
      <c r="A557" s="3" t="s">
        <v>1098</v>
      </c>
      <c r="B557" s="3" t="s">
        <v>1099</v>
      </c>
      <c r="C557" s="4">
        <v>45482</v>
      </c>
      <c r="D557" s="3" t="s">
        <v>52</v>
      </c>
      <c r="E557" s="3">
        <v>4600</v>
      </c>
      <c r="F557" s="3">
        <v>36</v>
      </c>
      <c r="G557" s="3">
        <v>10.78</v>
      </c>
      <c r="H557" s="3">
        <v>150.12</v>
      </c>
      <c r="I557" s="3">
        <v>17.600000000000001</v>
      </c>
      <c r="J557" s="3" t="s">
        <v>99</v>
      </c>
      <c r="K557" s="3">
        <v>0</v>
      </c>
      <c r="L557" s="3">
        <v>0</v>
      </c>
      <c r="M557" s="3">
        <v>33</v>
      </c>
      <c r="N557" s="3" t="s">
        <v>172</v>
      </c>
      <c r="O557" s="3" t="s">
        <v>43</v>
      </c>
      <c r="P557" s="3" t="s">
        <v>73</v>
      </c>
      <c r="Q557" s="3">
        <v>9</v>
      </c>
      <c r="R557" s="3">
        <v>31235</v>
      </c>
      <c r="S557" s="3">
        <v>682</v>
      </c>
      <c r="T557" s="3" t="s">
        <v>45</v>
      </c>
      <c r="U557" s="3">
        <v>1</v>
      </c>
      <c r="V557" s="3">
        <v>309</v>
      </c>
      <c r="W557" s="5" t="str">
        <f t="shared" si="32"/>
        <v>650-699</v>
      </c>
      <c r="X557" s="5" t="str">
        <f t="shared" si="33"/>
        <v>Low (&lt;=35%)</v>
      </c>
      <c r="Y557" s="5" t="str">
        <f t="shared" si="34"/>
        <v>Employed</v>
      </c>
      <c r="Z557" s="3" t="str">
        <f t="shared" si="35"/>
        <v>Investment &amp; Growth</v>
      </c>
    </row>
    <row r="558" spans="1:26" ht="17.399999999999999" x14ac:dyDescent="0.35">
      <c r="A558" s="3" t="s">
        <v>1100</v>
      </c>
      <c r="B558" s="3" t="s">
        <v>1099</v>
      </c>
      <c r="C558" s="4">
        <v>45303</v>
      </c>
      <c r="D558" s="3" t="s">
        <v>52</v>
      </c>
      <c r="E558" s="3">
        <v>6000</v>
      </c>
      <c r="F558" s="3">
        <v>12</v>
      </c>
      <c r="G558" s="3">
        <v>10.23</v>
      </c>
      <c r="H558" s="3">
        <v>528.14</v>
      </c>
      <c r="I558" s="3">
        <v>32.200000000000003</v>
      </c>
      <c r="J558" s="3" t="s">
        <v>48</v>
      </c>
      <c r="K558" s="3">
        <v>0</v>
      </c>
      <c r="L558" s="3">
        <v>0</v>
      </c>
      <c r="M558" s="3">
        <v>33</v>
      </c>
      <c r="N558" s="3" t="s">
        <v>172</v>
      </c>
      <c r="O558" s="3" t="s">
        <v>43</v>
      </c>
      <c r="P558" s="3" t="s">
        <v>73</v>
      </c>
      <c r="Q558" s="3">
        <v>9</v>
      </c>
      <c r="R558" s="3">
        <v>31235</v>
      </c>
      <c r="S558" s="3">
        <v>682</v>
      </c>
      <c r="T558" s="3" t="s">
        <v>45</v>
      </c>
      <c r="U558" s="3">
        <v>1</v>
      </c>
      <c r="V558" s="3">
        <v>309</v>
      </c>
      <c r="W558" s="5" t="str">
        <f t="shared" si="32"/>
        <v>650-699</v>
      </c>
      <c r="X558" s="5" t="str">
        <f t="shared" si="33"/>
        <v>Low (&lt;=35%)</v>
      </c>
      <c r="Y558" s="5" t="str">
        <f t="shared" si="34"/>
        <v>Employed</v>
      </c>
      <c r="Z558" s="3" t="str">
        <f t="shared" si="35"/>
        <v>Investment &amp; Growth</v>
      </c>
    </row>
    <row r="559" spans="1:26" ht="17.399999999999999" x14ac:dyDescent="0.35">
      <c r="A559" s="3" t="s">
        <v>1101</v>
      </c>
      <c r="B559" s="3" t="s">
        <v>1102</v>
      </c>
      <c r="C559" s="4">
        <v>45514</v>
      </c>
      <c r="D559" s="3" t="s">
        <v>64</v>
      </c>
      <c r="E559" s="3">
        <v>20000</v>
      </c>
      <c r="F559" s="3">
        <v>60</v>
      </c>
      <c r="G559" s="3">
        <v>10.86</v>
      </c>
      <c r="H559" s="3">
        <v>433.45</v>
      </c>
      <c r="I559" s="3">
        <v>55.4</v>
      </c>
      <c r="J559" s="3" t="s">
        <v>32</v>
      </c>
      <c r="K559" s="3">
        <v>101</v>
      </c>
      <c r="L559" s="3">
        <v>1</v>
      </c>
      <c r="M559" s="3">
        <v>64</v>
      </c>
      <c r="N559" s="3" t="s">
        <v>78</v>
      </c>
      <c r="O559" s="3" t="s">
        <v>27</v>
      </c>
      <c r="P559" s="3" t="s">
        <v>37</v>
      </c>
      <c r="Q559" s="3">
        <v>6</v>
      </c>
      <c r="R559" s="3">
        <v>49965</v>
      </c>
      <c r="S559" s="3">
        <v>612</v>
      </c>
      <c r="T559" s="3" t="s">
        <v>38</v>
      </c>
      <c r="U559" s="3">
        <v>2</v>
      </c>
      <c r="V559" s="3">
        <v>1875</v>
      </c>
      <c r="W559" s="5" t="str">
        <f t="shared" si="32"/>
        <v>600-649</v>
      </c>
      <c r="X559" s="5" t="str">
        <f t="shared" si="33"/>
        <v>High (51-75%)</v>
      </c>
      <c r="Y559" s="5" t="str">
        <f t="shared" si="34"/>
        <v>Employed</v>
      </c>
      <c r="Z559" s="3" t="str">
        <f t="shared" si="35"/>
        <v>Investment &amp; Growth</v>
      </c>
    </row>
    <row r="560" spans="1:26" ht="17.399999999999999" x14ac:dyDescent="0.35">
      <c r="A560" s="3" t="s">
        <v>1103</v>
      </c>
      <c r="B560" s="3" t="s">
        <v>1104</v>
      </c>
      <c r="C560" s="4">
        <v>45619</v>
      </c>
      <c r="D560" s="3" t="s">
        <v>61</v>
      </c>
      <c r="E560" s="3">
        <v>33000</v>
      </c>
      <c r="F560" s="3">
        <v>48</v>
      </c>
      <c r="G560" s="3">
        <v>7.42</v>
      </c>
      <c r="H560" s="3">
        <v>796.67</v>
      </c>
      <c r="I560" s="3">
        <v>70.099999999999994</v>
      </c>
      <c r="J560" s="3" t="s">
        <v>32</v>
      </c>
      <c r="K560" s="3">
        <v>42</v>
      </c>
      <c r="L560" s="3">
        <v>1</v>
      </c>
      <c r="M560" s="3">
        <v>61</v>
      </c>
      <c r="N560" s="3" t="s">
        <v>57</v>
      </c>
      <c r="O560" s="3" t="s">
        <v>43</v>
      </c>
      <c r="P560" s="3" t="s">
        <v>28</v>
      </c>
      <c r="Q560" s="3">
        <v>0</v>
      </c>
      <c r="R560" s="3">
        <v>50855</v>
      </c>
      <c r="S560" s="3">
        <v>850</v>
      </c>
      <c r="T560" s="3" t="s">
        <v>29</v>
      </c>
      <c r="U560" s="3">
        <v>0</v>
      </c>
      <c r="V560" s="3">
        <v>2173</v>
      </c>
      <c r="W560" s="5" t="str">
        <f t="shared" si="32"/>
        <v>750+</v>
      </c>
      <c r="X560" s="5" t="str">
        <f t="shared" si="33"/>
        <v>High (51-75%)</v>
      </c>
      <c r="Y560" s="5" t="str">
        <f t="shared" si="34"/>
        <v>Self-Employed</v>
      </c>
      <c r="Z560" s="3" t="str">
        <f t="shared" si="35"/>
        <v>Investment &amp; Growth</v>
      </c>
    </row>
    <row r="561" spans="1:26" ht="17.399999999999999" x14ac:dyDescent="0.35">
      <c r="A561" s="3" t="s">
        <v>1105</v>
      </c>
      <c r="B561" s="3" t="s">
        <v>1106</v>
      </c>
      <c r="C561" s="4">
        <v>45467</v>
      </c>
      <c r="D561" s="3" t="s">
        <v>24</v>
      </c>
      <c r="E561" s="3">
        <v>4900</v>
      </c>
      <c r="F561" s="3">
        <v>12</v>
      </c>
      <c r="G561" s="3">
        <v>6.69</v>
      </c>
      <c r="H561" s="3">
        <v>423.28</v>
      </c>
      <c r="I561" s="3">
        <v>50</v>
      </c>
      <c r="J561" s="3" t="s">
        <v>48</v>
      </c>
      <c r="K561" s="3">
        <v>0</v>
      </c>
      <c r="L561" s="3">
        <v>0</v>
      </c>
      <c r="M561" s="3">
        <v>49</v>
      </c>
      <c r="N561" s="3" t="s">
        <v>71</v>
      </c>
      <c r="O561" s="3" t="s">
        <v>27</v>
      </c>
      <c r="P561" s="3" t="s">
        <v>37</v>
      </c>
      <c r="Q561" s="3">
        <v>1</v>
      </c>
      <c r="R561" s="3">
        <v>35453</v>
      </c>
      <c r="S561" s="3">
        <v>836</v>
      </c>
      <c r="T561" s="3" t="s">
        <v>29</v>
      </c>
      <c r="U561" s="3">
        <v>4</v>
      </c>
      <c r="V561" s="3">
        <v>1054</v>
      </c>
      <c r="W561" s="5" t="str">
        <f t="shared" si="32"/>
        <v>750+</v>
      </c>
      <c r="X561" s="5" t="str">
        <f t="shared" si="33"/>
        <v>Manageable (36-50%)</v>
      </c>
      <c r="Y561" s="5" t="str">
        <f t="shared" si="34"/>
        <v>Employed</v>
      </c>
      <c r="Z561" s="3" t="str">
        <f t="shared" si="35"/>
        <v>Consumer &amp; Personal</v>
      </c>
    </row>
    <row r="562" spans="1:26" ht="17.399999999999999" x14ac:dyDescent="0.35">
      <c r="A562" s="3" t="s">
        <v>1107</v>
      </c>
      <c r="B562" s="3" t="s">
        <v>1106</v>
      </c>
      <c r="C562" s="4">
        <v>45764</v>
      </c>
      <c r="D562" s="3" t="s">
        <v>67</v>
      </c>
      <c r="E562" s="3">
        <v>15400</v>
      </c>
      <c r="F562" s="3">
        <v>60</v>
      </c>
      <c r="G562" s="3">
        <v>11.01</v>
      </c>
      <c r="H562" s="3">
        <v>334.91</v>
      </c>
      <c r="I562" s="3">
        <v>47</v>
      </c>
      <c r="J562" s="3" t="s">
        <v>48</v>
      </c>
      <c r="K562" s="3">
        <v>0</v>
      </c>
      <c r="L562" s="3">
        <v>0</v>
      </c>
      <c r="M562" s="3">
        <v>49</v>
      </c>
      <c r="N562" s="3" t="s">
        <v>71</v>
      </c>
      <c r="O562" s="3" t="s">
        <v>27</v>
      </c>
      <c r="P562" s="3" t="s">
        <v>37</v>
      </c>
      <c r="Q562" s="3">
        <v>1</v>
      </c>
      <c r="R562" s="3">
        <v>35453</v>
      </c>
      <c r="S562" s="3">
        <v>836</v>
      </c>
      <c r="T562" s="3" t="s">
        <v>29</v>
      </c>
      <c r="U562" s="3">
        <v>4</v>
      </c>
      <c r="V562" s="3">
        <v>1054</v>
      </c>
      <c r="W562" s="5" t="str">
        <f t="shared" si="32"/>
        <v>750+</v>
      </c>
      <c r="X562" s="5" t="str">
        <f t="shared" si="33"/>
        <v>Manageable (36-50%)</v>
      </c>
      <c r="Y562" s="5" t="str">
        <f t="shared" si="34"/>
        <v>Employed</v>
      </c>
      <c r="Z562" s="3" t="str">
        <f t="shared" si="35"/>
        <v>Debt &amp; Assets</v>
      </c>
    </row>
    <row r="563" spans="1:26" ht="17.399999999999999" x14ac:dyDescent="0.35">
      <c r="A563" s="3" t="s">
        <v>1108</v>
      </c>
      <c r="B563" s="3" t="s">
        <v>1109</v>
      </c>
      <c r="C563" s="4">
        <v>45717</v>
      </c>
      <c r="D563" s="3" t="s">
        <v>35</v>
      </c>
      <c r="E563" s="3">
        <v>5000</v>
      </c>
      <c r="F563" s="3">
        <v>12</v>
      </c>
      <c r="G563" s="3">
        <v>12.2</v>
      </c>
      <c r="H563" s="3">
        <v>444.71</v>
      </c>
      <c r="I563" s="3">
        <v>79.2</v>
      </c>
      <c r="J563" s="3" t="s">
        <v>25</v>
      </c>
      <c r="K563" s="3">
        <v>0</v>
      </c>
      <c r="L563" s="3">
        <v>0</v>
      </c>
      <c r="M563" s="3">
        <v>55</v>
      </c>
      <c r="N563" s="3" t="s">
        <v>115</v>
      </c>
      <c r="O563" s="3" t="s">
        <v>79</v>
      </c>
      <c r="P563" s="3" t="s">
        <v>85</v>
      </c>
      <c r="Q563" s="3">
        <v>31</v>
      </c>
      <c r="R563" s="3">
        <v>19232</v>
      </c>
      <c r="S563" s="3">
        <v>609</v>
      </c>
      <c r="T563" s="3" t="s">
        <v>45</v>
      </c>
      <c r="U563" s="3">
        <v>3</v>
      </c>
      <c r="V563" s="3">
        <v>825</v>
      </c>
      <c r="W563" s="5" t="str">
        <f t="shared" si="32"/>
        <v>600-649</v>
      </c>
      <c r="X563" s="5" t="str">
        <f t="shared" si="33"/>
        <v>Critical (&gt;75%)</v>
      </c>
      <c r="Y563" s="5" t="str">
        <f t="shared" si="34"/>
        <v>Retired</v>
      </c>
      <c r="Z563" s="3" t="str">
        <f t="shared" si="35"/>
        <v>Consumer &amp; Personal</v>
      </c>
    </row>
    <row r="564" spans="1:26" ht="17.399999999999999" x14ac:dyDescent="0.35">
      <c r="A564" s="3" t="s">
        <v>1110</v>
      </c>
      <c r="B564" s="3" t="s">
        <v>1109</v>
      </c>
      <c r="C564" s="4">
        <v>45694</v>
      </c>
      <c r="D564" s="3" t="s">
        <v>31</v>
      </c>
      <c r="E564" s="3">
        <v>6300</v>
      </c>
      <c r="F564" s="3">
        <v>48</v>
      </c>
      <c r="G564" s="3">
        <v>12.91</v>
      </c>
      <c r="H564" s="3">
        <v>168.73</v>
      </c>
      <c r="I564" s="3">
        <v>62</v>
      </c>
      <c r="J564" s="3" t="s">
        <v>32</v>
      </c>
      <c r="K564" s="3">
        <v>146</v>
      </c>
      <c r="L564" s="3">
        <v>1</v>
      </c>
      <c r="M564" s="3">
        <v>55</v>
      </c>
      <c r="N564" s="3" t="s">
        <v>115</v>
      </c>
      <c r="O564" s="3" t="s">
        <v>79</v>
      </c>
      <c r="P564" s="3" t="s">
        <v>85</v>
      </c>
      <c r="Q564" s="3">
        <v>31</v>
      </c>
      <c r="R564" s="3">
        <v>19232</v>
      </c>
      <c r="S564" s="3">
        <v>609</v>
      </c>
      <c r="T564" s="3" t="s">
        <v>45</v>
      </c>
      <c r="U564" s="3">
        <v>3</v>
      </c>
      <c r="V564" s="3">
        <v>825</v>
      </c>
      <c r="W564" s="5" t="str">
        <f t="shared" si="32"/>
        <v>600-649</v>
      </c>
      <c r="X564" s="5" t="str">
        <f t="shared" si="33"/>
        <v>High (51-75%)</v>
      </c>
      <c r="Y564" s="5" t="str">
        <f t="shared" si="34"/>
        <v>Retired</v>
      </c>
      <c r="Z564" s="3" t="str">
        <f t="shared" si="35"/>
        <v>Debt &amp; Assets</v>
      </c>
    </row>
    <row r="565" spans="1:26" ht="17.399999999999999" x14ac:dyDescent="0.35">
      <c r="A565" s="3" t="s">
        <v>1111</v>
      </c>
      <c r="B565" s="3" t="s">
        <v>1112</v>
      </c>
      <c r="C565" s="4">
        <v>45340</v>
      </c>
      <c r="D565" s="3" t="s">
        <v>61</v>
      </c>
      <c r="E565" s="3">
        <v>47000</v>
      </c>
      <c r="F565" s="3">
        <v>12</v>
      </c>
      <c r="G565" s="3">
        <v>6.91</v>
      </c>
      <c r="H565" s="3">
        <v>4064.81</v>
      </c>
      <c r="I565" s="3">
        <v>102.4</v>
      </c>
      <c r="J565" s="3" t="s">
        <v>25</v>
      </c>
      <c r="K565" s="3">
        <v>0</v>
      </c>
      <c r="L565" s="3">
        <v>0</v>
      </c>
      <c r="M565" s="3">
        <v>55</v>
      </c>
      <c r="N565" s="3" t="s">
        <v>135</v>
      </c>
      <c r="O565" s="3" t="s">
        <v>79</v>
      </c>
      <c r="P565" s="3" t="s">
        <v>37</v>
      </c>
      <c r="Q565" s="3">
        <v>14</v>
      </c>
      <c r="R565" s="3">
        <v>57097</v>
      </c>
      <c r="S565" s="3">
        <v>794</v>
      </c>
      <c r="T565" s="3" t="s">
        <v>45</v>
      </c>
      <c r="U565" s="3">
        <v>0</v>
      </c>
      <c r="V565" s="3">
        <v>807</v>
      </c>
      <c r="W565" s="5" t="str">
        <f t="shared" si="32"/>
        <v>750+</v>
      </c>
      <c r="X565" s="5" t="str">
        <f t="shared" si="33"/>
        <v>Critical (&gt;75%)</v>
      </c>
      <c r="Y565" s="5" t="str">
        <f t="shared" si="34"/>
        <v>Employed</v>
      </c>
      <c r="Z565" s="3" t="str">
        <f t="shared" si="35"/>
        <v>Investment &amp; Growth</v>
      </c>
    </row>
    <row r="566" spans="1:26" ht="17.399999999999999" x14ac:dyDescent="0.35">
      <c r="A566" s="3" t="s">
        <v>1113</v>
      </c>
      <c r="B566" s="3" t="s">
        <v>1114</v>
      </c>
      <c r="C566" s="4">
        <v>45297</v>
      </c>
      <c r="D566" s="3" t="s">
        <v>31</v>
      </c>
      <c r="E566" s="3">
        <v>6200</v>
      </c>
      <c r="F566" s="3">
        <v>36</v>
      </c>
      <c r="G566" s="3">
        <v>11.68</v>
      </c>
      <c r="H566" s="3">
        <v>204.98</v>
      </c>
      <c r="I566" s="3">
        <v>33.5</v>
      </c>
      <c r="J566" s="3" t="s">
        <v>99</v>
      </c>
      <c r="K566" s="3">
        <v>15</v>
      </c>
      <c r="L566" s="3">
        <v>0</v>
      </c>
      <c r="M566" s="3">
        <v>22</v>
      </c>
      <c r="N566" s="3" t="s">
        <v>78</v>
      </c>
      <c r="O566" s="3" t="s">
        <v>58</v>
      </c>
      <c r="P566" s="3" t="s">
        <v>37</v>
      </c>
      <c r="Q566" s="3">
        <v>1</v>
      </c>
      <c r="R566" s="3">
        <v>95335</v>
      </c>
      <c r="S566" s="3">
        <v>744</v>
      </c>
      <c r="T566" s="3" t="s">
        <v>29</v>
      </c>
      <c r="U566" s="3">
        <v>2</v>
      </c>
      <c r="V566" s="3">
        <v>2453</v>
      </c>
      <c r="W566" s="5" t="str">
        <f t="shared" si="32"/>
        <v>700-749</v>
      </c>
      <c r="X566" s="5" t="str">
        <f t="shared" si="33"/>
        <v>Low (&lt;=35%)</v>
      </c>
      <c r="Y566" s="5" t="str">
        <f t="shared" si="34"/>
        <v>Employed</v>
      </c>
      <c r="Z566" s="3" t="str">
        <f t="shared" si="35"/>
        <v>Debt &amp; Assets</v>
      </c>
    </row>
    <row r="567" spans="1:26" ht="17.399999999999999" x14ac:dyDescent="0.35">
      <c r="A567" s="3" t="s">
        <v>1115</v>
      </c>
      <c r="B567" s="3" t="s">
        <v>1114</v>
      </c>
      <c r="C567" s="4">
        <v>45680</v>
      </c>
      <c r="D567" s="3" t="s">
        <v>67</v>
      </c>
      <c r="E567" s="3">
        <v>39200</v>
      </c>
      <c r="F567" s="3">
        <v>12</v>
      </c>
      <c r="G567" s="3">
        <v>8.92</v>
      </c>
      <c r="H567" s="3">
        <v>3426.64</v>
      </c>
      <c r="I567" s="3">
        <v>74</v>
      </c>
      <c r="J567" s="3" t="s">
        <v>32</v>
      </c>
      <c r="K567" s="3">
        <v>73</v>
      </c>
      <c r="L567" s="3">
        <v>1</v>
      </c>
      <c r="M567" s="3">
        <v>22</v>
      </c>
      <c r="N567" s="3" t="s">
        <v>78</v>
      </c>
      <c r="O567" s="3" t="s">
        <v>58</v>
      </c>
      <c r="P567" s="3" t="s">
        <v>37</v>
      </c>
      <c r="Q567" s="3">
        <v>1</v>
      </c>
      <c r="R567" s="3">
        <v>95335</v>
      </c>
      <c r="S567" s="3">
        <v>744</v>
      </c>
      <c r="T567" s="3" t="s">
        <v>29</v>
      </c>
      <c r="U567" s="3">
        <v>2</v>
      </c>
      <c r="V567" s="3">
        <v>2453</v>
      </c>
      <c r="W567" s="5" t="str">
        <f t="shared" si="32"/>
        <v>700-749</v>
      </c>
      <c r="X567" s="5" t="str">
        <f t="shared" si="33"/>
        <v>High (51-75%)</v>
      </c>
      <c r="Y567" s="5" t="str">
        <f t="shared" si="34"/>
        <v>Employed</v>
      </c>
      <c r="Z567" s="3" t="str">
        <f t="shared" si="35"/>
        <v>Debt &amp; Assets</v>
      </c>
    </row>
    <row r="568" spans="1:26" ht="17.399999999999999" x14ac:dyDescent="0.35">
      <c r="A568" s="3" t="s">
        <v>1116</v>
      </c>
      <c r="B568" s="3" t="s">
        <v>1117</v>
      </c>
      <c r="C568" s="4">
        <v>45715</v>
      </c>
      <c r="D568" s="3" t="s">
        <v>77</v>
      </c>
      <c r="E568" s="3">
        <v>5200</v>
      </c>
      <c r="F568" s="3">
        <v>24</v>
      </c>
      <c r="G568" s="3">
        <v>10.25</v>
      </c>
      <c r="H568" s="3">
        <v>240.55</v>
      </c>
      <c r="I568" s="3">
        <v>44.2</v>
      </c>
      <c r="J568" s="3" t="s">
        <v>48</v>
      </c>
      <c r="K568" s="3">
        <v>0</v>
      </c>
      <c r="L568" s="3">
        <v>0</v>
      </c>
      <c r="M568" s="3">
        <v>67</v>
      </c>
      <c r="N568" s="3" t="s">
        <v>57</v>
      </c>
      <c r="O568" s="3" t="s">
        <v>27</v>
      </c>
      <c r="P568" s="3" t="s">
        <v>37</v>
      </c>
      <c r="Q568" s="3">
        <v>22</v>
      </c>
      <c r="R568" s="3">
        <v>32414</v>
      </c>
      <c r="S568" s="3">
        <v>811</v>
      </c>
      <c r="T568" s="3" t="s">
        <v>45</v>
      </c>
      <c r="U568" s="3">
        <v>0</v>
      </c>
      <c r="V568" s="3">
        <v>954</v>
      </c>
      <c r="W568" s="5" t="str">
        <f t="shared" si="32"/>
        <v>750+</v>
      </c>
      <c r="X568" s="5" t="str">
        <f t="shared" si="33"/>
        <v>Manageable (36-50%)</v>
      </c>
      <c r="Y568" s="5" t="str">
        <f t="shared" si="34"/>
        <v>Employed</v>
      </c>
      <c r="Z568" s="3" t="str">
        <f t="shared" si="35"/>
        <v>Consumer &amp; Personal</v>
      </c>
    </row>
    <row r="569" spans="1:26" ht="17.399999999999999" x14ac:dyDescent="0.35">
      <c r="A569" s="3" t="s">
        <v>1118</v>
      </c>
      <c r="B569" s="3" t="s">
        <v>1117</v>
      </c>
      <c r="C569" s="4">
        <v>45786</v>
      </c>
      <c r="D569" s="3" t="s">
        <v>64</v>
      </c>
      <c r="E569" s="3">
        <v>22000</v>
      </c>
      <c r="F569" s="3">
        <v>36</v>
      </c>
      <c r="G569" s="3">
        <v>8.09</v>
      </c>
      <c r="H569" s="3">
        <v>690.31</v>
      </c>
      <c r="I569" s="3">
        <v>60.9</v>
      </c>
      <c r="J569" s="3" t="s">
        <v>48</v>
      </c>
      <c r="K569" s="3">
        <v>0</v>
      </c>
      <c r="L569" s="3">
        <v>0</v>
      </c>
      <c r="M569" s="3">
        <v>67</v>
      </c>
      <c r="N569" s="3" t="s">
        <v>57</v>
      </c>
      <c r="O569" s="3" t="s">
        <v>27</v>
      </c>
      <c r="P569" s="3" t="s">
        <v>37</v>
      </c>
      <c r="Q569" s="3">
        <v>22</v>
      </c>
      <c r="R569" s="3">
        <v>32414</v>
      </c>
      <c r="S569" s="3">
        <v>811</v>
      </c>
      <c r="T569" s="3" t="s">
        <v>45</v>
      </c>
      <c r="U569" s="3">
        <v>0</v>
      </c>
      <c r="V569" s="3">
        <v>954</v>
      </c>
      <c r="W569" s="5" t="str">
        <f t="shared" si="32"/>
        <v>750+</v>
      </c>
      <c r="X569" s="5" t="str">
        <f t="shared" si="33"/>
        <v>High (51-75%)</v>
      </c>
      <c r="Y569" s="5" t="str">
        <f t="shared" si="34"/>
        <v>Employed</v>
      </c>
      <c r="Z569" s="3" t="str">
        <f t="shared" si="35"/>
        <v>Investment &amp; Growth</v>
      </c>
    </row>
    <row r="570" spans="1:26" ht="17.399999999999999" x14ac:dyDescent="0.35">
      <c r="A570" s="3" t="s">
        <v>1119</v>
      </c>
      <c r="B570" s="3" t="s">
        <v>1120</v>
      </c>
      <c r="C570" s="4">
        <v>45368</v>
      </c>
      <c r="D570" s="3" t="s">
        <v>35</v>
      </c>
      <c r="E570" s="3">
        <v>13600</v>
      </c>
      <c r="F570" s="3">
        <v>24</v>
      </c>
      <c r="G570" s="3">
        <v>13.16</v>
      </c>
      <c r="H570" s="3">
        <v>647.59</v>
      </c>
      <c r="I570" s="3">
        <v>38.700000000000003</v>
      </c>
      <c r="J570" s="3" t="s">
        <v>48</v>
      </c>
      <c r="K570" s="3">
        <v>0</v>
      </c>
      <c r="L570" s="3">
        <v>0</v>
      </c>
      <c r="M570" s="3">
        <v>34</v>
      </c>
      <c r="N570" s="3" t="s">
        <v>119</v>
      </c>
      <c r="O570" s="3" t="s">
        <v>43</v>
      </c>
      <c r="P570" s="3" t="s">
        <v>37</v>
      </c>
      <c r="Q570" s="3">
        <v>6</v>
      </c>
      <c r="R570" s="3">
        <v>40896</v>
      </c>
      <c r="S570" s="3">
        <v>619</v>
      </c>
      <c r="T570" s="3" t="s">
        <v>45</v>
      </c>
      <c r="U570" s="3">
        <v>0</v>
      </c>
      <c r="V570" s="3">
        <v>671</v>
      </c>
      <c r="W570" s="5" t="str">
        <f t="shared" si="32"/>
        <v>600-649</v>
      </c>
      <c r="X570" s="5" t="str">
        <f t="shared" si="33"/>
        <v>Manageable (36-50%)</v>
      </c>
      <c r="Y570" s="5" t="str">
        <f t="shared" si="34"/>
        <v>Employed</v>
      </c>
      <c r="Z570" s="3" t="str">
        <f t="shared" si="35"/>
        <v>Consumer &amp; Personal</v>
      </c>
    </row>
    <row r="571" spans="1:26" ht="17.399999999999999" x14ac:dyDescent="0.35">
      <c r="A571" s="3" t="s">
        <v>1121</v>
      </c>
      <c r="B571" s="3" t="s">
        <v>1122</v>
      </c>
      <c r="C571" s="4">
        <v>45832</v>
      </c>
      <c r="D571" s="3" t="s">
        <v>31</v>
      </c>
      <c r="E571" s="3">
        <v>6100</v>
      </c>
      <c r="F571" s="3">
        <v>24</v>
      </c>
      <c r="G571" s="3">
        <v>10.25</v>
      </c>
      <c r="H571" s="3">
        <v>282.19</v>
      </c>
      <c r="I571" s="3">
        <v>47.8</v>
      </c>
      <c r="J571" s="3" t="s">
        <v>25</v>
      </c>
      <c r="K571" s="3">
        <v>0</v>
      </c>
      <c r="L571" s="3">
        <v>0</v>
      </c>
      <c r="M571" s="3">
        <v>29</v>
      </c>
      <c r="N571" s="3" t="s">
        <v>78</v>
      </c>
      <c r="O571" s="3" t="s">
        <v>72</v>
      </c>
      <c r="P571" s="3" t="s">
        <v>85</v>
      </c>
      <c r="Q571" s="3">
        <v>4</v>
      </c>
      <c r="R571" s="3">
        <v>77862</v>
      </c>
      <c r="S571" s="3">
        <v>829</v>
      </c>
      <c r="T571" s="3" t="s">
        <v>29</v>
      </c>
      <c r="U571" s="3">
        <v>2</v>
      </c>
      <c r="V571" s="3">
        <v>2822</v>
      </c>
      <c r="W571" s="5" t="str">
        <f t="shared" si="32"/>
        <v>750+</v>
      </c>
      <c r="X571" s="5" t="str">
        <f t="shared" si="33"/>
        <v>Manageable (36-50%)</v>
      </c>
      <c r="Y571" s="5" t="str">
        <f t="shared" si="34"/>
        <v>Retired</v>
      </c>
      <c r="Z571" s="3" t="str">
        <f t="shared" si="35"/>
        <v>Debt &amp; Assets</v>
      </c>
    </row>
    <row r="572" spans="1:26" ht="17.399999999999999" x14ac:dyDescent="0.35">
      <c r="A572" s="3" t="s">
        <v>1123</v>
      </c>
      <c r="B572" s="3" t="s">
        <v>1124</v>
      </c>
      <c r="C572" s="4">
        <v>45664</v>
      </c>
      <c r="D572" s="3" t="s">
        <v>56</v>
      </c>
      <c r="E572" s="3">
        <v>7100</v>
      </c>
      <c r="F572" s="3">
        <v>24</v>
      </c>
      <c r="G572" s="3">
        <v>7.01</v>
      </c>
      <c r="H572" s="3">
        <v>317.92</v>
      </c>
      <c r="I572" s="3">
        <v>40</v>
      </c>
      <c r="J572" s="3" t="s">
        <v>99</v>
      </c>
      <c r="K572" s="3">
        <v>0</v>
      </c>
      <c r="L572" s="3">
        <v>0</v>
      </c>
      <c r="M572" s="3">
        <v>43</v>
      </c>
      <c r="N572" s="3" t="s">
        <v>42</v>
      </c>
      <c r="O572" s="3" t="s">
        <v>58</v>
      </c>
      <c r="P572" s="3" t="s">
        <v>37</v>
      </c>
      <c r="Q572" s="3">
        <v>0</v>
      </c>
      <c r="R572" s="3">
        <v>114645</v>
      </c>
      <c r="S572" s="3">
        <v>845</v>
      </c>
      <c r="T572" s="3" t="s">
        <v>45</v>
      </c>
      <c r="U572" s="3">
        <v>0</v>
      </c>
      <c r="V572" s="3">
        <v>3504</v>
      </c>
      <c r="W572" s="5" t="str">
        <f t="shared" si="32"/>
        <v>750+</v>
      </c>
      <c r="X572" s="5" t="str">
        <f t="shared" si="33"/>
        <v>Manageable (36-50%)</v>
      </c>
      <c r="Y572" s="5" t="str">
        <f t="shared" si="34"/>
        <v>Employed</v>
      </c>
      <c r="Z572" s="3" t="str">
        <f t="shared" si="35"/>
        <v>Consumer &amp; Personal</v>
      </c>
    </row>
    <row r="573" spans="1:26" ht="17.399999999999999" x14ac:dyDescent="0.35">
      <c r="A573" s="3" t="s">
        <v>1125</v>
      </c>
      <c r="B573" s="3" t="s">
        <v>1126</v>
      </c>
      <c r="C573" s="4">
        <v>45396</v>
      </c>
      <c r="D573" s="3" t="s">
        <v>31</v>
      </c>
      <c r="E573" s="3">
        <v>10300</v>
      </c>
      <c r="F573" s="3">
        <v>24</v>
      </c>
      <c r="G573" s="3">
        <v>11.51</v>
      </c>
      <c r="H573" s="3">
        <v>482.5</v>
      </c>
      <c r="I573" s="3">
        <v>26.9</v>
      </c>
      <c r="J573" s="3" t="s">
        <v>99</v>
      </c>
      <c r="K573" s="3">
        <v>15</v>
      </c>
      <c r="L573" s="3">
        <v>0</v>
      </c>
      <c r="M573" s="3">
        <v>36</v>
      </c>
      <c r="N573" s="3" t="s">
        <v>172</v>
      </c>
      <c r="O573" s="3" t="s">
        <v>43</v>
      </c>
      <c r="P573" s="3" t="s">
        <v>37</v>
      </c>
      <c r="Q573" s="3">
        <v>16</v>
      </c>
      <c r="R573" s="3">
        <v>60743</v>
      </c>
      <c r="S573" s="3">
        <v>715</v>
      </c>
      <c r="T573" s="3" t="s">
        <v>45</v>
      </c>
      <c r="U573" s="3">
        <v>3</v>
      </c>
      <c r="V573" s="3">
        <v>881</v>
      </c>
      <c r="W573" s="5" t="str">
        <f t="shared" si="32"/>
        <v>700-749</v>
      </c>
      <c r="X573" s="5" t="str">
        <f t="shared" si="33"/>
        <v>Low (&lt;=35%)</v>
      </c>
      <c r="Y573" s="5" t="str">
        <f t="shared" si="34"/>
        <v>Employed</v>
      </c>
      <c r="Z573" s="3" t="str">
        <f t="shared" si="35"/>
        <v>Debt &amp; Assets</v>
      </c>
    </row>
    <row r="574" spans="1:26" ht="17.399999999999999" x14ac:dyDescent="0.35">
      <c r="A574" s="3" t="s">
        <v>1127</v>
      </c>
      <c r="B574" s="3" t="s">
        <v>1128</v>
      </c>
      <c r="C574" s="4">
        <v>45563</v>
      </c>
      <c r="D574" s="3" t="s">
        <v>24</v>
      </c>
      <c r="E574" s="3">
        <v>2900</v>
      </c>
      <c r="F574" s="3">
        <v>60</v>
      </c>
      <c r="G574" s="3">
        <v>8.6300000000000008</v>
      </c>
      <c r="H574" s="3">
        <v>59.68</v>
      </c>
      <c r="I574" s="3">
        <v>34.799999999999997</v>
      </c>
      <c r="J574" s="3" t="s">
        <v>48</v>
      </c>
      <c r="K574" s="3">
        <v>0</v>
      </c>
      <c r="L574" s="3">
        <v>0</v>
      </c>
      <c r="M574" s="3">
        <v>27</v>
      </c>
      <c r="N574" s="3" t="s">
        <v>149</v>
      </c>
      <c r="O574" s="3" t="s">
        <v>43</v>
      </c>
      <c r="P574" s="3" t="s">
        <v>28</v>
      </c>
      <c r="Q574" s="3">
        <v>2</v>
      </c>
      <c r="R574" s="3">
        <v>62419</v>
      </c>
      <c r="S574" s="3">
        <v>818</v>
      </c>
      <c r="T574" s="3" t="s">
        <v>45</v>
      </c>
      <c r="U574" s="3">
        <v>0</v>
      </c>
      <c r="V574" s="3">
        <v>1752</v>
      </c>
      <c r="W574" s="5" t="str">
        <f t="shared" si="32"/>
        <v>750+</v>
      </c>
      <c r="X574" s="5" t="str">
        <f t="shared" si="33"/>
        <v>Low (&lt;=35%)</v>
      </c>
      <c r="Y574" s="5" t="str">
        <f t="shared" si="34"/>
        <v>Self-Employed</v>
      </c>
      <c r="Z574" s="3" t="str">
        <f t="shared" si="35"/>
        <v>Consumer &amp; Personal</v>
      </c>
    </row>
    <row r="575" spans="1:26" ht="17.399999999999999" x14ac:dyDescent="0.35">
      <c r="A575" s="3" t="s">
        <v>1129</v>
      </c>
      <c r="B575" s="3" t="s">
        <v>1130</v>
      </c>
      <c r="C575" s="4">
        <v>45670</v>
      </c>
      <c r="D575" s="3" t="s">
        <v>31</v>
      </c>
      <c r="E575" s="3">
        <v>26400</v>
      </c>
      <c r="F575" s="3">
        <v>12</v>
      </c>
      <c r="G575" s="3">
        <v>8.7899999999999991</v>
      </c>
      <c r="H575" s="3">
        <v>2306.15</v>
      </c>
      <c r="I575" s="3">
        <v>39.1</v>
      </c>
      <c r="J575" s="3" t="s">
        <v>25</v>
      </c>
      <c r="K575" s="3">
        <v>0</v>
      </c>
      <c r="L575" s="3">
        <v>0</v>
      </c>
      <c r="M575" s="3">
        <v>33</v>
      </c>
      <c r="N575" s="3" t="s">
        <v>89</v>
      </c>
      <c r="O575" s="3" t="s">
        <v>72</v>
      </c>
      <c r="P575" s="3" t="s">
        <v>28</v>
      </c>
      <c r="Q575" s="3">
        <v>11</v>
      </c>
      <c r="R575" s="3">
        <v>132671</v>
      </c>
      <c r="S575" s="3">
        <v>805</v>
      </c>
      <c r="T575" s="3" t="s">
        <v>38</v>
      </c>
      <c r="U575" s="3">
        <v>0</v>
      </c>
      <c r="V575" s="3">
        <v>2019</v>
      </c>
      <c r="W575" s="5" t="str">
        <f t="shared" si="32"/>
        <v>750+</v>
      </c>
      <c r="X575" s="5" t="str">
        <f t="shared" si="33"/>
        <v>Manageable (36-50%)</v>
      </c>
      <c r="Y575" s="5" t="str">
        <f t="shared" si="34"/>
        <v>Self-Employed</v>
      </c>
      <c r="Z575" s="3" t="str">
        <f t="shared" si="35"/>
        <v>Debt &amp; Assets</v>
      </c>
    </row>
    <row r="576" spans="1:26" ht="17.399999999999999" x14ac:dyDescent="0.35">
      <c r="A576" s="3" t="s">
        <v>1131</v>
      </c>
      <c r="B576" s="3" t="s">
        <v>1132</v>
      </c>
      <c r="C576" s="4">
        <v>45797</v>
      </c>
      <c r="D576" s="3" t="s">
        <v>41</v>
      </c>
      <c r="E576" s="3">
        <v>7000</v>
      </c>
      <c r="F576" s="3">
        <v>36</v>
      </c>
      <c r="G576" s="3">
        <v>12.5</v>
      </c>
      <c r="H576" s="3">
        <v>234.18</v>
      </c>
      <c r="I576" s="3">
        <v>43</v>
      </c>
      <c r="J576" s="3" t="s">
        <v>48</v>
      </c>
      <c r="K576" s="3">
        <v>0</v>
      </c>
      <c r="L576" s="3">
        <v>0</v>
      </c>
      <c r="M576" s="3">
        <v>36</v>
      </c>
      <c r="N576" s="3" t="s">
        <v>53</v>
      </c>
      <c r="O576" s="3" t="s">
        <v>79</v>
      </c>
      <c r="P576" s="3" t="s">
        <v>37</v>
      </c>
      <c r="Q576" s="3">
        <v>3</v>
      </c>
      <c r="R576" s="3">
        <v>57979</v>
      </c>
      <c r="S576" s="3">
        <v>609</v>
      </c>
      <c r="T576" s="3" t="s">
        <v>38</v>
      </c>
      <c r="U576" s="3">
        <v>2</v>
      </c>
      <c r="V576" s="3">
        <v>1844</v>
      </c>
      <c r="W576" s="5" t="str">
        <f t="shared" si="32"/>
        <v>600-649</v>
      </c>
      <c r="X576" s="5" t="str">
        <f t="shared" si="33"/>
        <v>Manageable (36-50%)</v>
      </c>
      <c r="Y576" s="5" t="str">
        <f t="shared" si="34"/>
        <v>Employed</v>
      </c>
      <c r="Z576" s="3" t="str">
        <f t="shared" si="35"/>
        <v>Debt &amp; Assets</v>
      </c>
    </row>
    <row r="577" spans="1:26" ht="17.399999999999999" x14ac:dyDescent="0.35">
      <c r="A577" s="3" t="s">
        <v>1133</v>
      </c>
      <c r="B577" s="3" t="s">
        <v>1134</v>
      </c>
      <c r="C577" s="4">
        <v>45536</v>
      </c>
      <c r="D577" s="3" t="s">
        <v>61</v>
      </c>
      <c r="E577" s="3">
        <v>3600</v>
      </c>
      <c r="F577" s="3">
        <v>12</v>
      </c>
      <c r="G577" s="3">
        <v>9.94</v>
      </c>
      <c r="H577" s="3">
        <v>316.39999999999998</v>
      </c>
      <c r="I577" s="3">
        <v>55.8</v>
      </c>
      <c r="J577" s="3" t="s">
        <v>32</v>
      </c>
      <c r="K577" s="3">
        <v>55</v>
      </c>
      <c r="L577" s="3">
        <v>1</v>
      </c>
      <c r="M577" s="3">
        <v>61</v>
      </c>
      <c r="N577" s="3" t="s">
        <v>123</v>
      </c>
      <c r="O577" s="3" t="s">
        <v>27</v>
      </c>
      <c r="P577" s="3" t="s">
        <v>44</v>
      </c>
      <c r="Q577" s="3">
        <v>23</v>
      </c>
      <c r="R577" s="3">
        <v>56121</v>
      </c>
      <c r="S577" s="3">
        <v>776</v>
      </c>
      <c r="T577" s="3" t="s">
        <v>45</v>
      </c>
      <c r="U577" s="3">
        <v>3</v>
      </c>
      <c r="V577" s="3">
        <v>2293</v>
      </c>
      <c r="W577" s="5" t="str">
        <f t="shared" si="32"/>
        <v>750+</v>
      </c>
      <c r="X577" s="5" t="str">
        <f t="shared" si="33"/>
        <v>High (51-75%)</v>
      </c>
      <c r="Y577" s="5" t="str">
        <f t="shared" si="34"/>
        <v>Employed</v>
      </c>
      <c r="Z577" s="3" t="str">
        <f t="shared" si="35"/>
        <v>Investment &amp; Growth</v>
      </c>
    </row>
    <row r="578" spans="1:26" ht="17.399999999999999" x14ac:dyDescent="0.35">
      <c r="A578" s="3" t="s">
        <v>1135</v>
      </c>
      <c r="B578" s="3" t="s">
        <v>1136</v>
      </c>
      <c r="C578" s="4">
        <v>45566</v>
      </c>
      <c r="D578" s="3" t="s">
        <v>77</v>
      </c>
      <c r="E578" s="3">
        <v>21400</v>
      </c>
      <c r="F578" s="3">
        <v>48</v>
      </c>
      <c r="G578" s="3">
        <v>6.99</v>
      </c>
      <c r="H578" s="3">
        <v>512.35</v>
      </c>
      <c r="I578" s="3">
        <v>12.1</v>
      </c>
      <c r="J578" s="3" t="s">
        <v>48</v>
      </c>
      <c r="K578" s="3">
        <v>0</v>
      </c>
      <c r="L578" s="3">
        <v>0</v>
      </c>
      <c r="M578" s="3">
        <v>58</v>
      </c>
      <c r="N578" s="3" t="s">
        <v>179</v>
      </c>
      <c r="O578" s="3" t="s">
        <v>72</v>
      </c>
      <c r="P578" s="3" t="s">
        <v>37</v>
      </c>
      <c r="Q578" s="3">
        <v>17</v>
      </c>
      <c r="R578" s="3">
        <v>139061</v>
      </c>
      <c r="S578" s="3">
        <v>811</v>
      </c>
      <c r="T578" s="3" t="s">
        <v>45</v>
      </c>
      <c r="U578" s="3">
        <v>2</v>
      </c>
      <c r="V578" s="3">
        <v>893</v>
      </c>
      <c r="W578" s="5" t="str">
        <f t="shared" ref="W578:W602" si="36">IF(S578&lt;=599, "520-599", IF(S578&lt;=649, "600-649", IF(S578&lt;=699, "650-699", IF(S578&lt;=749, "700-749", "750+"))))</f>
        <v>750+</v>
      </c>
      <c r="X578" s="5" t="str">
        <f t="shared" ref="X578:X602" si="37">IF(I578&lt;=35, "Low (&lt;=35%)", IF(I578&lt;=50, "Manageable (36-50%)", IF(I578&lt;=75, "High (51-75%)", "Critical (&gt;75%)")))</f>
        <v>Low (&lt;=35%)</v>
      </c>
      <c r="Y578" s="5" t="str">
        <f t="shared" ref="Y578:Y602" si="38">IF(OR(P578="Full-Time", P578="Part-Time", P578="Contract"), "Employed", IF(P578="Self-Employed", "Self-Employed", IF(P578="Retired", "Retired", "Other")))</f>
        <v>Employed</v>
      </c>
      <c r="Z578" s="3" t="str">
        <f t="shared" ref="Z578:Z602" si="39">IF(OR(D578="Vacation", D578="Medical Expenses", D578="Wedding", D578="Moving"), "Consumer &amp; Personal", IF(OR(D578="Debt Consolidation", D578="Major Purchase", D578="Auto Loan"), "Debt &amp; Assets", IF(OR(D578="Home Improvement", D578="Business Loan", D578="Education"), "Investment &amp; Growth", "Other")))</f>
        <v>Consumer &amp; Personal</v>
      </c>
    </row>
    <row r="579" spans="1:26" ht="17.399999999999999" x14ac:dyDescent="0.35">
      <c r="A579" s="3" t="s">
        <v>1137</v>
      </c>
      <c r="B579" s="3" t="s">
        <v>1138</v>
      </c>
      <c r="C579" s="4">
        <v>45780</v>
      </c>
      <c r="D579" s="3" t="s">
        <v>77</v>
      </c>
      <c r="E579" s="3">
        <v>2100</v>
      </c>
      <c r="F579" s="3">
        <v>24</v>
      </c>
      <c r="G579" s="3">
        <v>10.25</v>
      </c>
      <c r="H579" s="3">
        <v>97.15</v>
      </c>
      <c r="I579" s="3">
        <v>12.6</v>
      </c>
      <c r="J579" s="3" t="s">
        <v>99</v>
      </c>
      <c r="K579" s="3">
        <v>15</v>
      </c>
      <c r="L579" s="3">
        <v>0</v>
      </c>
      <c r="M579" s="3">
        <v>49</v>
      </c>
      <c r="N579" s="3" t="s">
        <v>213</v>
      </c>
      <c r="O579" s="3" t="s">
        <v>43</v>
      </c>
      <c r="P579" s="3" t="s">
        <v>37</v>
      </c>
      <c r="Q579" s="3">
        <v>27</v>
      </c>
      <c r="R579" s="3">
        <v>72657</v>
      </c>
      <c r="S579" s="3">
        <v>736</v>
      </c>
      <c r="T579" s="3" t="s">
        <v>29</v>
      </c>
      <c r="U579" s="3">
        <v>1</v>
      </c>
      <c r="V579" s="3">
        <v>667</v>
      </c>
      <c r="W579" s="5" t="str">
        <f t="shared" si="36"/>
        <v>700-749</v>
      </c>
      <c r="X579" s="5" t="str">
        <f t="shared" si="37"/>
        <v>Low (&lt;=35%)</v>
      </c>
      <c r="Y579" s="5" t="str">
        <f t="shared" si="38"/>
        <v>Employed</v>
      </c>
      <c r="Z579" s="3" t="str">
        <f t="shared" si="39"/>
        <v>Consumer &amp; Personal</v>
      </c>
    </row>
    <row r="580" spans="1:26" ht="17.399999999999999" x14ac:dyDescent="0.35">
      <c r="A580" s="3" t="s">
        <v>1139</v>
      </c>
      <c r="B580" s="3" t="s">
        <v>1140</v>
      </c>
      <c r="C580" s="4">
        <v>45305</v>
      </c>
      <c r="D580" s="3" t="s">
        <v>61</v>
      </c>
      <c r="E580" s="3">
        <v>8200</v>
      </c>
      <c r="F580" s="3">
        <v>48</v>
      </c>
      <c r="G580" s="3">
        <v>10.09</v>
      </c>
      <c r="H580" s="3">
        <v>208.33</v>
      </c>
      <c r="I580" s="3">
        <v>54.1</v>
      </c>
      <c r="J580" s="3" t="s">
        <v>48</v>
      </c>
      <c r="K580" s="3">
        <v>0</v>
      </c>
      <c r="L580" s="3">
        <v>0</v>
      </c>
      <c r="M580" s="3">
        <v>55</v>
      </c>
      <c r="N580" s="3" t="s">
        <v>128</v>
      </c>
      <c r="O580" s="3" t="s">
        <v>43</v>
      </c>
      <c r="P580" s="3" t="s">
        <v>28</v>
      </c>
      <c r="Q580" s="3">
        <v>24</v>
      </c>
      <c r="R580" s="3">
        <v>41354</v>
      </c>
      <c r="S580" s="3">
        <v>637</v>
      </c>
      <c r="T580" s="3" t="s">
        <v>45</v>
      </c>
      <c r="U580" s="3">
        <v>1</v>
      </c>
      <c r="V580" s="3">
        <v>1657</v>
      </c>
      <c r="W580" s="5" t="str">
        <f t="shared" si="36"/>
        <v>600-649</v>
      </c>
      <c r="X580" s="5" t="str">
        <f t="shared" si="37"/>
        <v>High (51-75%)</v>
      </c>
      <c r="Y580" s="5" t="str">
        <f t="shared" si="38"/>
        <v>Self-Employed</v>
      </c>
      <c r="Z580" s="3" t="str">
        <f t="shared" si="39"/>
        <v>Investment &amp; Growth</v>
      </c>
    </row>
    <row r="581" spans="1:26" ht="17.399999999999999" x14ac:dyDescent="0.35">
      <c r="A581" s="3" t="s">
        <v>1141</v>
      </c>
      <c r="B581" s="3" t="s">
        <v>1142</v>
      </c>
      <c r="C581" s="4">
        <v>45777</v>
      </c>
      <c r="D581" s="3" t="s">
        <v>61</v>
      </c>
      <c r="E581" s="3">
        <v>27600</v>
      </c>
      <c r="F581" s="3">
        <v>12</v>
      </c>
      <c r="G581" s="3">
        <v>8.84</v>
      </c>
      <c r="H581" s="3">
        <v>2411.61</v>
      </c>
      <c r="I581" s="3">
        <v>66.900000000000006</v>
      </c>
      <c r="J581" s="3" t="s">
        <v>48</v>
      </c>
      <c r="K581" s="3">
        <v>0</v>
      </c>
      <c r="L581" s="3">
        <v>0</v>
      </c>
      <c r="M581" s="3">
        <v>33</v>
      </c>
      <c r="N581" s="3" t="s">
        <v>123</v>
      </c>
      <c r="O581" s="3" t="s">
        <v>43</v>
      </c>
      <c r="P581" s="3" t="s">
        <v>37</v>
      </c>
      <c r="Q581" s="3">
        <v>5</v>
      </c>
      <c r="R581" s="3">
        <v>70671</v>
      </c>
      <c r="S581" s="3">
        <v>848</v>
      </c>
      <c r="T581" s="3" t="s">
        <v>45</v>
      </c>
      <c r="U581" s="3">
        <v>1</v>
      </c>
      <c r="V581" s="3">
        <v>1528</v>
      </c>
      <c r="W581" s="5" t="str">
        <f t="shared" si="36"/>
        <v>750+</v>
      </c>
      <c r="X581" s="5" t="str">
        <f t="shared" si="37"/>
        <v>High (51-75%)</v>
      </c>
      <c r="Y581" s="5" t="str">
        <f t="shared" si="38"/>
        <v>Employed</v>
      </c>
      <c r="Z581" s="3" t="str">
        <f t="shared" si="39"/>
        <v>Investment &amp; Growth</v>
      </c>
    </row>
    <row r="582" spans="1:26" ht="17.399999999999999" x14ac:dyDescent="0.35">
      <c r="A582" s="3" t="s">
        <v>1143</v>
      </c>
      <c r="B582" s="3" t="s">
        <v>1142</v>
      </c>
      <c r="C582" s="4">
        <v>45829</v>
      </c>
      <c r="D582" s="3" t="s">
        <v>61</v>
      </c>
      <c r="E582" s="3">
        <v>2400</v>
      </c>
      <c r="F582" s="3">
        <v>36</v>
      </c>
      <c r="G582" s="3">
        <v>10.039999999999999</v>
      </c>
      <c r="H582" s="3">
        <v>77.489999999999995</v>
      </c>
      <c r="I582" s="3">
        <v>27.3</v>
      </c>
      <c r="J582" s="3" t="s">
        <v>25</v>
      </c>
      <c r="K582" s="3">
        <v>0</v>
      </c>
      <c r="L582" s="3">
        <v>0</v>
      </c>
      <c r="M582" s="3">
        <v>33</v>
      </c>
      <c r="N582" s="3" t="s">
        <v>123</v>
      </c>
      <c r="O582" s="3" t="s">
        <v>43</v>
      </c>
      <c r="P582" s="3" t="s">
        <v>37</v>
      </c>
      <c r="Q582" s="3">
        <v>5</v>
      </c>
      <c r="R582" s="3">
        <v>70671</v>
      </c>
      <c r="S582" s="3">
        <v>848</v>
      </c>
      <c r="T582" s="3" t="s">
        <v>45</v>
      </c>
      <c r="U582" s="3">
        <v>1</v>
      </c>
      <c r="V582" s="3">
        <v>1528</v>
      </c>
      <c r="W582" s="5" t="str">
        <f t="shared" si="36"/>
        <v>750+</v>
      </c>
      <c r="X582" s="5" t="str">
        <f t="shared" si="37"/>
        <v>Low (&lt;=35%)</v>
      </c>
      <c r="Y582" s="5" t="str">
        <f t="shared" si="38"/>
        <v>Employed</v>
      </c>
      <c r="Z582" s="3" t="str">
        <f t="shared" si="39"/>
        <v>Investment &amp; Growth</v>
      </c>
    </row>
    <row r="583" spans="1:26" ht="17.399999999999999" x14ac:dyDescent="0.35">
      <c r="A583" s="3" t="s">
        <v>1144</v>
      </c>
      <c r="B583" s="3" t="s">
        <v>1145</v>
      </c>
      <c r="C583" s="4">
        <v>45790</v>
      </c>
      <c r="D583" s="3" t="s">
        <v>52</v>
      </c>
      <c r="E583" s="3">
        <v>37300</v>
      </c>
      <c r="F583" s="3">
        <v>60</v>
      </c>
      <c r="G583" s="3">
        <v>7.5</v>
      </c>
      <c r="H583" s="3">
        <v>747.42</v>
      </c>
      <c r="I583" s="3">
        <v>22.9</v>
      </c>
      <c r="J583" s="3" t="s">
        <v>25</v>
      </c>
      <c r="K583" s="3">
        <v>0</v>
      </c>
      <c r="L583" s="3">
        <v>0</v>
      </c>
      <c r="M583" s="3">
        <v>45</v>
      </c>
      <c r="N583" s="3" t="s">
        <v>135</v>
      </c>
      <c r="O583" s="3" t="s">
        <v>43</v>
      </c>
      <c r="P583" s="3" t="s">
        <v>37</v>
      </c>
      <c r="Q583" s="3">
        <v>4</v>
      </c>
      <c r="R583" s="3">
        <v>69356</v>
      </c>
      <c r="S583" s="3">
        <v>827</v>
      </c>
      <c r="T583" s="3" t="s">
        <v>29</v>
      </c>
      <c r="U583" s="3">
        <v>0</v>
      </c>
      <c r="V583" s="3">
        <v>577</v>
      </c>
      <c r="W583" s="5" t="str">
        <f t="shared" si="36"/>
        <v>750+</v>
      </c>
      <c r="X583" s="5" t="str">
        <f t="shared" si="37"/>
        <v>Low (&lt;=35%)</v>
      </c>
      <c r="Y583" s="5" t="str">
        <f t="shared" si="38"/>
        <v>Employed</v>
      </c>
      <c r="Z583" s="3" t="str">
        <f t="shared" si="39"/>
        <v>Investment &amp; Growth</v>
      </c>
    </row>
    <row r="584" spans="1:26" ht="17.399999999999999" x14ac:dyDescent="0.35">
      <c r="A584" s="3" t="s">
        <v>1146</v>
      </c>
      <c r="B584" s="3" t="s">
        <v>1147</v>
      </c>
      <c r="C584" s="4">
        <v>45568</v>
      </c>
      <c r="D584" s="3" t="s">
        <v>52</v>
      </c>
      <c r="E584" s="3">
        <v>39200</v>
      </c>
      <c r="F584" s="3">
        <v>60</v>
      </c>
      <c r="G584" s="3">
        <v>11.84</v>
      </c>
      <c r="H584" s="3">
        <v>868.82</v>
      </c>
      <c r="I584" s="3">
        <v>60.1</v>
      </c>
      <c r="J584" s="3" t="s">
        <v>48</v>
      </c>
      <c r="K584" s="3">
        <v>0</v>
      </c>
      <c r="L584" s="3">
        <v>0</v>
      </c>
      <c r="M584" s="3">
        <v>39</v>
      </c>
      <c r="N584" s="3" t="s">
        <v>89</v>
      </c>
      <c r="O584" s="3" t="s">
        <v>72</v>
      </c>
      <c r="P584" s="3" t="s">
        <v>73</v>
      </c>
      <c r="Q584" s="3">
        <v>4</v>
      </c>
      <c r="R584" s="3">
        <v>70439</v>
      </c>
      <c r="S584" s="3">
        <v>635</v>
      </c>
      <c r="T584" s="3" t="s">
        <v>29</v>
      </c>
      <c r="U584" s="3">
        <v>0</v>
      </c>
      <c r="V584" s="3">
        <v>2658</v>
      </c>
      <c r="W584" s="5" t="str">
        <f t="shared" si="36"/>
        <v>600-649</v>
      </c>
      <c r="X584" s="5" t="str">
        <f t="shared" si="37"/>
        <v>High (51-75%)</v>
      </c>
      <c r="Y584" s="5" t="str">
        <f t="shared" si="38"/>
        <v>Employed</v>
      </c>
      <c r="Z584" s="3" t="str">
        <f t="shared" si="39"/>
        <v>Investment &amp; Growth</v>
      </c>
    </row>
    <row r="585" spans="1:26" ht="17.399999999999999" x14ac:dyDescent="0.35">
      <c r="A585" s="3" t="s">
        <v>1148</v>
      </c>
      <c r="B585" s="3" t="s">
        <v>1149</v>
      </c>
      <c r="C585" s="4">
        <v>45733</v>
      </c>
      <c r="D585" s="3" t="s">
        <v>64</v>
      </c>
      <c r="E585" s="3">
        <v>8800</v>
      </c>
      <c r="F585" s="3">
        <v>48</v>
      </c>
      <c r="G585" s="3">
        <v>5.99</v>
      </c>
      <c r="H585" s="3">
        <v>206.63</v>
      </c>
      <c r="I585" s="3">
        <v>22.5</v>
      </c>
      <c r="J585" s="3" t="s">
        <v>48</v>
      </c>
      <c r="K585" s="3">
        <v>0</v>
      </c>
      <c r="L585" s="3">
        <v>0</v>
      </c>
      <c r="M585" s="3">
        <v>33</v>
      </c>
      <c r="N585" s="3" t="s">
        <v>128</v>
      </c>
      <c r="O585" s="3" t="s">
        <v>43</v>
      </c>
      <c r="P585" s="3" t="s">
        <v>37</v>
      </c>
      <c r="Q585" s="3">
        <v>8</v>
      </c>
      <c r="R585" s="3">
        <v>97590</v>
      </c>
      <c r="S585" s="3">
        <v>850</v>
      </c>
      <c r="T585" s="3" t="s">
        <v>45</v>
      </c>
      <c r="U585" s="3">
        <v>2</v>
      </c>
      <c r="V585" s="3">
        <v>1626</v>
      </c>
      <c r="W585" s="5" t="str">
        <f t="shared" si="36"/>
        <v>750+</v>
      </c>
      <c r="X585" s="5" t="str">
        <f t="shared" si="37"/>
        <v>Low (&lt;=35%)</v>
      </c>
      <c r="Y585" s="5" t="str">
        <f t="shared" si="38"/>
        <v>Employed</v>
      </c>
      <c r="Z585" s="3" t="str">
        <f t="shared" si="39"/>
        <v>Investment &amp; Growth</v>
      </c>
    </row>
    <row r="586" spans="1:26" ht="17.399999999999999" x14ac:dyDescent="0.35">
      <c r="A586" s="3" t="s">
        <v>1150</v>
      </c>
      <c r="B586" s="3" t="s">
        <v>1149</v>
      </c>
      <c r="C586" s="4">
        <v>45752</v>
      </c>
      <c r="D586" s="3" t="s">
        <v>31</v>
      </c>
      <c r="E586" s="3">
        <v>48300</v>
      </c>
      <c r="F586" s="3">
        <v>60</v>
      </c>
      <c r="G586" s="3">
        <v>10.33</v>
      </c>
      <c r="H586" s="3">
        <v>1034.0899999999999</v>
      </c>
      <c r="I586" s="3">
        <v>32.700000000000003</v>
      </c>
      <c r="J586" s="3" t="s">
        <v>99</v>
      </c>
      <c r="K586" s="3">
        <v>15</v>
      </c>
      <c r="L586" s="3">
        <v>0</v>
      </c>
      <c r="M586" s="3">
        <v>33</v>
      </c>
      <c r="N586" s="3" t="s">
        <v>128</v>
      </c>
      <c r="O586" s="3" t="s">
        <v>43</v>
      </c>
      <c r="P586" s="3" t="s">
        <v>37</v>
      </c>
      <c r="Q586" s="3">
        <v>8</v>
      </c>
      <c r="R586" s="3">
        <v>97590</v>
      </c>
      <c r="S586" s="3">
        <v>850</v>
      </c>
      <c r="T586" s="3" t="s">
        <v>45</v>
      </c>
      <c r="U586" s="3">
        <v>2</v>
      </c>
      <c r="V586" s="3">
        <v>1626</v>
      </c>
      <c r="W586" s="5" t="str">
        <f t="shared" si="36"/>
        <v>750+</v>
      </c>
      <c r="X586" s="5" t="str">
        <f t="shared" si="37"/>
        <v>Low (&lt;=35%)</v>
      </c>
      <c r="Y586" s="5" t="str">
        <f t="shared" si="38"/>
        <v>Employed</v>
      </c>
      <c r="Z586" s="3" t="str">
        <f t="shared" si="39"/>
        <v>Debt &amp; Assets</v>
      </c>
    </row>
    <row r="587" spans="1:26" ht="17.399999999999999" x14ac:dyDescent="0.35">
      <c r="A587" s="3" t="s">
        <v>1151</v>
      </c>
      <c r="B587" s="3" t="s">
        <v>1152</v>
      </c>
      <c r="C587" s="4">
        <v>45574</v>
      </c>
      <c r="D587" s="3" t="s">
        <v>52</v>
      </c>
      <c r="E587" s="3">
        <v>20800</v>
      </c>
      <c r="F587" s="3">
        <v>48</v>
      </c>
      <c r="G587" s="3">
        <v>14.43</v>
      </c>
      <c r="H587" s="3">
        <v>572.89</v>
      </c>
      <c r="I587" s="3">
        <v>47.4</v>
      </c>
      <c r="J587" s="3" t="s">
        <v>48</v>
      </c>
      <c r="K587" s="3">
        <v>0</v>
      </c>
      <c r="L587" s="3">
        <v>0</v>
      </c>
      <c r="M587" s="3">
        <v>57</v>
      </c>
      <c r="N587" s="3" t="s">
        <v>42</v>
      </c>
      <c r="O587" s="3" t="s">
        <v>72</v>
      </c>
      <c r="P587" s="3" t="s">
        <v>37</v>
      </c>
      <c r="Q587" s="3">
        <v>3</v>
      </c>
      <c r="R587" s="3">
        <v>63092</v>
      </c>
      <c r="S587" s="3">
        <v>618</v>
      </c>
      <c r="T587" s="3" t="s">
        <v>38</v>
      </c>
      <c r="U587" s="3">
        <v>1</v>
      </c>
      <c r="V587" s="3">
        <v>1918</v>
      </c>
      <c r="W587" s="5" t="str">
        <f t="shared" si="36"/>
        <v>600-649</v>
      </c>
      <c r="X587" s="5" t="str">
        <f t="shared" si="37"/>
        <v>Manageable (36-50%)</v>
      </c>
      <c r="Y587" s="5" t="str">
        <f t="shared" si="38"/>
        <v>Employed</v>
      </c>
      <c r="Z587" s="3" t="str">
        <f t="shared" si="39"/>
        <v>Investment &amp; Growth</v>
      </c>
    </row>
    <row r="588" spans="1:26" ht="17.399999999999999" x14ac:dyDescent="0.35">
      <c r="A588" s="3" t="s">
        <v>1153</v>
      </c>
      <c r="B588" s="3" t="s">
        <v>1152</v>
      </c>
      <c r="C588" s="4">
        <v>45647</v>
      </c>
      <c r="D588" s="3" t="s">
        <v>52</v>
      </c>
      <c r="E588" s="3">
        <v>7900</v>
      </c>
      <c r="F588" s="3">
        <v>48</v>
      </c>
      <c r="G588" s="3">
        <v>12.53</v>
      </c>
      <c r="H588" s="3">
        <v>210.1</v>
      </c>
      <c r="I588" s="3">
        <v>40.5</v>
      </c>
      <c r="J588" s="3" t="s">
        <v>99</v>
      </c>
      <c r="K588" s="3">
        <v>30</v>
      </c>
      <c r="L588" s="3">
        <v>0</v>
      </c>
      <c r="M588" s="3">
        <v>57</v>
      </c>
      <c r="N588" s="3" t="s">
        <v>42</v>
      </c>
      <c r="O588" s="3" t="s">
        <v>72</v>
      </c>
      <c r="P588" s="3" t="s">
        <v>37</v>
      </c>
      <c r="Q588" s="3">
        <v>3</v>
      </c>
      <c r="R588" s="3">
        <v>63092</v>
      </c>
      <c r="S588" s="3">
        <v>618</v>
      </c>
      <c r="T588" s="3" t="s">
        <v>38</v>
      </c>
      <c r="U588" s="3">
        <v>1</v>
      </c>
      <c r="V588" s="3">
        <v>1918</v>
      </c>
      <c r="W588" s="5" t="str">
        <f t="shared" si="36"/>
        <v>600-649</v>
      </c>
      <c r="X588" s="5" t="str">
        <f t="shared" si="37"/>
        <v>Manageable (36-50%)</v>
      </c>
      <c r="Y588" s="5" t="str">
        <f t="shared" si="38"/>
        <v>Employed</v>
      </c>
      <c r="Z588" s="3" t="str">
        <f t="shared" si="39"/>
        <v>Investment &amp; Growth</v>
      </c>
    </row>
    <row r="589" spans="1:26" ht="17.399999999999999" x14ac:dyDescent="0.35">
      <c r="A589" s="3" t="s">
        <v>1154</v>
      </c>
      <c r="B589" s="3" t="s">
        <v>1155</v>
      </c>
      <c r="C589" s="4">
        <v>45458</v>
      </c>
      <c r="D589" s="3" t="s">
        <v>24</v>
      </c>
      <c r="E589" s="3">
        <v>27100</v>
      </c>
      <c r="F589" s="3">
        <v>36</v>
      </c>
      <c r="G589" s="3">
        <v>9.3699999999999992</v>
      </c>
      <c r="H589" s="3">
        <v>866.45</v>
      </c>
      <c r="I589" s="3">
        <v>23.2</v>
      </c>
      <c r="J589" s="3" t="s">
        <v>25</v>
      </c>
      <c r="K589" s="3">
        <v>0</v>
      </c>
      <c r="L589" s="3">
        <v>0</v>
      </c>
      <c r="M589" s="3">
        <v>50</v>
      </c>
      <c r="N589" s="3" t="s">
        <v>149</v>
      </c>
      <c r="O589" s="3" t="s">
        <v>72</v>
      </c>
      <c r="P589" s="3" t="s">
        <v>37</v>
      </c>
      <c r="Q589" s="3">
        <v>29</v>
      </c>
      <c r="R589" s="3">
        <v>85514</v>
      </c>
      <c r="S589" s="3">
        <v>825</v>
      </c>
      <c r="T589" s="3" t="s">
        <v>29</v>
      </c>
      <c r="U589" s="3">
        <v>0</v>
      </c>
      <c r="V589" s="3">
        <v>788</v>
      </c>
      <c r="W589" s="5" t="str">
        <f t="shared" si="36"/>
        <v>750+</v>
      </c>
      <c r="X589" s="5" t="str">
        <f t="shared" si="37"/>
        <v>Low (&lt;=35%)</v>
      </c>
      <c r="Y589" s="5" t="str">
        <f t="shared" si="38"/>
        <v>Employed</v>
      </c>
      <c r="Z589" s="3" t="str">
        <f t="shared" si="39"/>
        <v>Consumer &amp; Personal</v>
      </c>
    </row>
    <row r="590" spans="1:26" ht="17.399999999999999" x14ac:dyDescent="0.35">
      <c r="A590" s="3" t="s">
        <v>1156</v>
      </c>
      <c r="B590" s="3" t="s">
        <v>1157</v>
      </c>
      <c r="C590" s="4">
        <v>45605</v>
      </c>
      <c r="D590" s="3" t="s">
        <v>67</v>
      </c>
      <c r="E590" s="3">
        <v>41600</v>
      </c>
      <c r="F590" s="3">
        <v>12</v>
      </c>
      <c r="G590" s="3">
        <v>6.52</v>
      </c>
      <c r="H590" s="3">
        <v>3590.31</v>
      </c>
      <c r="I590" s="3">
        <v>72.7</v>
      </c>
      <c r="J590" s="3" t="s">
        <v>32</v>
      </c>
      <c r="K590" s="3">
        <v>120</v>
      </c>
      <c r="L590" s="3">
        <v>1</v>
      </c>
      <c r="M590" s="3">
        <v>65</v>
      </c>
      <c r="N590" s="3" t="s">
        <v>393</v>
      </c>
      <c r="O590" s="3" t="s">
        <v>58</v>
      </c>
      <c r="P590" s="3" t="s">
        <v>37</v>
      </c>
      <c r="Q590" s="3">
        <v>11</v>
      </c>
      <c r="R590" s="3">
        <v>126680</v>
      </c>
      <c r="S590" s="3">
        <v>825</v>
      </c>
      <c r="T590" s="3" t="s">
        <v>29</v>
      </c>
      <c r="U590" s="3">
        <v>1</v>
      </c>
      <c r="V590" s="3">
        <v>4081</v>
      </c>
      <c r="W590" s="5" t="str">
        <f t="shared" si="36"/>
        <v>750+</v>
      </c>
      <c r="X590" s="5" t="str">
        <f t="shared" si="37"/>
        <v>High (51-75%)</v>
      </c>
      <c r="Y590" s="5" t="str">
        <f t="shared" si="38"/>
        <v>Employed</v>
      </c>
      <c r="Z590" s="3" t="str">
        <f t="shared" si="39"/>
        <v>Debt &amp; Assets</v>
      </c>
    </row>
    <row r="591" spans="1:26" ht="17.399999999999999" x14ac:dyDescent="0.35">
      <c r="A591" s="3" t="s">
        <v>1158</v>
      </c>
      <c r="B591" s="3" t="s">
        <v>1159</v>
      </c>
      <c r="C591" s="4">
        <v>45806</v>
      </c>
      <c r="D591" s="3" t="s">
        <v>67</v>
      </c>
      <c r="E591" s="3">
        <v>4800</v>
      </c>
      <c r="F591" s="3">
        <v>36</v>
      </c>
      <c r="G591" s="3">
        <v>9.7799999999999994</v>
      </c>
      <c r="H591" s="3">
        <v>154.38999999999999</v>
      </c>
      <c r="I591" s="3">
        <v>40</v>
      </c>
      <c r="J591" s="3" t="s">
        <v>48</v>
      </c>
      <c r="K591" s="3">
        <v>0</v>
      </c>
      <c r="L591" s="3">
        <v>0</v>
      </c>
      <c r="M591" s="3">
        <v>53</v>
      </c>
      <c r="N591" s="3" t="s">
        <v>203</v>
      </c>
      <c r="O591" s="3" t="s">
        <v>72</v>
      </c>
      <c r="P591" s="3" t="s">
        <v>37</v>
      </c>
      <c r="Q591" s="3">
        <v>18</v>
      </c>
      <c r="R591" s="3">
        <v>61327</v>
      </c>
      <c r="S591" s="3">
        <v>849</v>
      </c>
      <c r="T591" s="3" t="s">
        <v>45</v>
      </c>
      <c r="U591" s="3">
        <v>3</v>
      </c>
      <c r="V591" s="3">
        <v>1892</v>
      </c>
      <c r="W591" s="5" t="str">
        <f t="shared" si="36"/>
        <v>750+</v>
      </c>
      <c r="X591" s="5" t="str">
        <f t="shared" si="37"/>
        <v>Manageable (36-50%)</v>
      </c>
      <c r="Y591" s="5" t="str">
        <f t="shared" si="38"/>
        <v>Employed</v>
      </c>
      <c r="Z591" s="3" t="str">
        <f t="shared" si="39"/>
        <v>Debt &amp; Assets</v>
      </c>
    </row>
    <row r="592" spans="1:26" ht="17.399999999999999" x14ac:dyDescent="0.35">
      <c r="A592" s="3" t="s">
        <v>1160</v>
      </c>
      <c r="B592" s="3" t="s">
        <v>1161</v>
      </c>
      <c r="C592" s="4">
        <v>45374</v>
      </c>
      <c r="D592" s="3" t="s">
        <v>41</v>
      </c>
      <c r="E592" s="3">
        <v>13200</v>
      </c>
      <c r="F592" s="3">
        <v>48</v>
      </c>
      <c r="G592" s="3">
        <v>13.58</v>
      </c>
      <c r="H592" s="3">
        <v>357.93</v>
      </c>
      <c r="I592" s="3">
        <v>49.4</v>
      </c>
      <c r="J592" s="3" t="s">
        <v>32</v>
      </c>
      <c r="K592" s="3">
        <v>38</v>
      </c>
      <c r="L592" s="3">
        <v>1</v>
      </c>
      <c r="M592" s="3">
        <v>43</v>
      </c>
      <c r="N592" s="3" t="s">
        <v>62</v>
      </c>
      <c r="O592" s="3" t="s">
        <v>43</v>
      </c>
      <c r="P592" s="3" t="s">
        <v>73</v>
      </c>
      <c r="Q592" s="3">
        <v>2</v>
      </c>
      <c r="R592" s="3">
        <v>36533</v>
      </c>
      <c r="S592" s="3">
        <v>561</v>
      </c>
      <c r="T592" s="3" t="s">
        <v>38</v>
      </c>
      <c r="U592" s="3">
        <v>1</v>
      </c>
      <c r="V592" s="3">
        <v>1146</v>
      </c>
      <c r="W592" s="5" t="str">
        <f t="shared" si="36"/>
        <v>520-599</v>
      </c>
      <c r="X592" s="5" t="str">
        <f t="shared" si="37"/>
        <v>Manageable (36-50%)</v>
      </c>
      <c r="Y592" s="5" t="str">
        <f t="shared" si="38"/>
        <v>Employed</v>
      </c>
      <c r="Z592" s="3" t="str">
        <f t="shared" si="39"/>
        <v>Debt &amp; Assets</v>
      </c>
    </row>
    <row r="593" spans="1:26" ht="17.399999999999999" x14ac:dyDescent="0.35">
      <c r="A593" s="3" t="s">
        <v>1162</v>
      </c>
      <c r="B593" s="3" t="s">
        <v>1163</v>
      </c>
      <c r="C593" s="4">
        <v>45392</v>
      </c>
      <c r="D593" s="3" t="s">
        <v>52</v>
      </c>
      <c r="E593" s="3">
        <v>10000</v>
      </c>
      <c r="F593" s="3">
        <v>48</v>
      </c>
      <c r="G593" s="3">
        <v>9.58</v>
      </c>
      <c r="H593" s="3">
        <v>251.61</v>
      </c>
      <c r="I593" s="3">
        <v>38.700000000000003</v>
      </c>
      <c r="J593" s="3" t="s">
        <v>99</v>
      </c>
      <c r="K593" s="3">
        <v>15</v>
      </c>
      <c r="L593" s="3">
        <v>0</v>
      </c>
      <c r="M593" s="3">
        <v>67</v>
      </c>
      <c r="N593" s="3" t="s">
        <v>93</v>
      </c>
      <c r="O593" s="3" t="s">
        <v>79</v>
      </c>
      <c r="P593" s="3" t="s">
        <v>73</v>
      </c>
      <c r="Q593" s="3">
        <v>23</v>
      </c>
      <c r="R593" s="3">
        <v>23062</v>
      </c>
      <c r="S593" s="3">
        <v>752</v>
      </c>
      <c r="T593" s="3" t="s">
        <v>29</v>
      </c>
      <c r="U593" s="3">
        <v>4</v>
      </c>
      <c r="V593" s="3">
        <v>493</v>
      </c>
      <c r="W593" s="5" t="str">
        <f t="shared" si="36"/>
        <v>750+</v>
      </c>
      <c r="X593" s="5" t="str">
        <f t="shared" si="37"/>
        <v>Manageable (36-50%)</v>
      </c>
      <c r="Y593" s="5" t="str">
        <f t="shared" si="38"/>
        <v>Employed</v>
      </c>
      <c r="Z593" s="3" t="str">
        <f t="shared" si="39"/>
        <v>Investment &amp; Growth</v>
      </c>
    </row>
    <row r="594" spans="1:26" ht="17.399999999999999" x14ac:dyDescent="0.35">
      <c r="A594" s="3" t="s">
        <v>1164</v>
      </c>
      <c r="B594" s="3" t="s">
        <v>1165</v>
      </c>
      <c r="C594" s="4">
        <v>45496</v>
      </c>
      <c r="D594" s="3" t="s">
        <v>31</v>
      </c>
      <c r="E594" s="3">
        <v>17500</v>
      </c>
      <c r="F594" s="3">
        <v>60</v>
      </c>
      <c r="G594" s="3">
        <v>9.65</v>
      </c>
      <c r="H594" s="3">
        <v>368.82</v>
      </c>
      <c r="I594" s="3">
        <v>30.8</v>
      </c>
      <c r="J594" s="3" t="s">
        <v>48</v>
      </c>
      <c r="K594" s="3">
        <v>0</v>
      </c>
      <c r="L594" s="3">
        <v>0</v>
      </c>
      <c r="M594" s="3">
        <v>33</v>
      </c>
      <c r="N594" s="3" t="s">
        <v>53</v>
      </c>
      <c r="O594" s="3" t="s">
        <v>72</v>
      </c>
      <c r="P594" s="3" t="s">
        <v>37</v>
      </c>
      <c r="Q594" s="3">
        <v>11</v>
      </c>
      <c r="R594" s="3">
        <v>74731</v>
      </c>
      <c r="S594" s="3">
        <v>663</v>
      </c>
      <c r="T594" s="3" t="s">
        <v>29</v>
      </c>
      <c r="U594" s="3">
        <v>0</v>
      </c>
      <c r="V594" s="3">
        <v>1547</v>
      </c>
      <c r="W594" s="5" t="str">
        <f t="shared" si="36"/>
        <v>650-699</v>
      </c>
      <c r="X594" s="5" t="str">
        <f t="shared" si="37"/>
        <v>Low (&lt;=35%)</v>
      </c>
      <c r="Y594" s="5" t="str">
        <f t="shared" si="38"/>
        <v>Employed</v>
      </c>
      <c r="Z594" s="3" t="str">
        <f t="shared" si="39"/>
        <v>Debt &amp; Assets</v>
      </c>
    </row>
    <row r="595" spans="1:26" ht="17.399999999999999" x14ac:dyDescent="0.35">
      <c r="A595" s="3" t="s">
        <v>1166</v>
      </c>
      <c r="B595" s="3" t="s">
        <v>1167</v>
      </c>
      <c r="C595" s="4">
        <v>45739</v>
      </c>
      <c r="D595" s="3" t="s">
        <v>41</v>
      </c>
      <c r="E595" s="3">
        <v>26400</v>
      </c>
      <c r="F595" s="3">
        <v>60</v>
      </c>
      <c r="G595" s="3">
        <v>11.87</v>
      </c>
      <c r="H595" s="3">
        <v>585.52</v>
      </c>
      <c r="I595" s="3">
        <v>52.7</v>
      </c>
      <c r="J595" s="3" t="s">
        <v>32</v>
      </c>
      <c r="K595" s="3">
        <v>164</v>
      </c>
      <c r="L595" s="3">
        <v>1</v>
      </c>
      <c r="M595" s="3">
        <v>28</v>
      </c>
      <c r="N595" s="3" t="s">
        <v>53</v>
      </c>
      <c r="O595" s="3" t="s">
        <v>27</v>
      </c>
      <c r="P595" s="3" t="s">
        <v>44</v>
      </c>
      <c r="Q595" s="3">
        <v>6</v>
      </c>
      <c r="R595" s="3">
        <v>41704</v>
      </c>
      <c r="S595" s="3">
        <v>543</v>
      </c>
      <c r="T595" s="3" t="s">
        <v>45</v>
      </c>
      <c r="U595" s="3">
        <v>0</v>
      </c>
      <c r="V595" s="3">
        <v>1247</v>
      </c>
      <c r="W595" s="5" t="str">
        <f t="shared" si="36"/>
        <v>520-599</v>
      </c>
      <c r="X595" s="5" t="str">
        <f t="shared" si="37"/>
        <v>High (51-75%)</v>
      </c>
      <c r="Y595" s="5" t="str">
        <f t="shared" si="38"/>
        <v>Employed</v>
      </c>
      <c r="Z595" s="3" t="str">
        <f t="shared" si="39"/>
        <v>Debt &amp; Assets</v>
      </c>
    </row>
    <row r="596" spans="1:26" ht="17.399999999999999" x14ac:dyDescent="0.35">
      <c r="A596" s="3" t="s">
        <v>1168</v>
      </c>
      <c r="B596" s="3" t="s">
        <v>1169</v>
      </c>
      <c r="C596" s="4">
        <v>45729</v>
      </c>
      <c r="D596" s="3" t="s">
        <v>52</v>
      </c>
      <c r="E596" s="3">
        <v>34900</v>
      </c>
      <c r="F596" s="3">
        <v>36</v>
      </c>
      <c r="G596" s="3">
        <v>11.33</v>
      </c>
      <c r="H596" s="3">
        <v>1148.04</v>
      </c>
      <c r="I596" s="3">
        <v>69.7</v>
      </c>
      <c r="J596" s="3" t="s">
        <v>99</v>
      </c>
      <c r="K596" s="3">
        <v>30</v>
      </c>
      <c r="L596" s="3">
        <v>0</v>
      </c>
      <c r="M596" s="3">
        <v>27</v>
      </c>
      <c r="N596" s="3" t="s">
        <v>203</v>
      </c>
      <c r="O596" s="3" t="s">
        <v>43</v>
      </c>
      <c r="P596" s="3" t="s">
        <v>44</v>
      </c>
      <c r="Q596" s="3">
        <v>4</v>
      </c>
      <c r="R596" s="3">
        <v>60337</v>
      </c>
      <c r="S596" s="3">
        <v>661</v>
      </c>
      <c r="T596" s="3" t="s">
        <v>45</v>
      </c>
      <c r="U596" s="3">
        <v>0</v>
      </c>
      <c r="V596" s="3">
        <v>2359</v>
      </c>
      <c r="W596" s="5" t="str">
        <f t="shared" si="36"/>
        <v>650-699</v>
      </c>
      <c r="X596" s="5" t="str">
        <f t="shared" si="37"/>
        <v>High (51-75%)</v>
      </c>
      <c r="Y596" s="5" t="str">
        <f t="shared" si="38"/>
        <v>Employed</v>
      </c>
      <c r="Z596" s="3" t="str">
        <f t="shared" si="39"/>
        <v>Investment &amp; Growth</v>
      </c>
    </row>
    <row r="597" spans="1:26" ht="17.399999999999999" x14ac:dyDescent="0.35">
      <c r="A597" s="3" t="s">
        <v>1170</v>
      </c>
      <c r="B597" s="3" t="s">
        <v>1171</v>
      </c>
      <c r="C597" s="4">
        <v>45601</v>
      </c>
      <c r="D597" s="3" t="s">
        <v>67</v>
      </c>
      <c r="E597" s="3">
        <v>22200</v>
      </c>
      <c r="F597" s="3">
        <v>24</v>
      </c>
      <c r="G597" s="3">
        <v>10.19</v>
      </c>
      <c r="H597" s="3">
        <v>1026.3699999999999</v>
      </c>
      <c r="I597" s="3">
        <v>55</v>
      </c>
      <c r="J597" s="3" t="s">
        <v>48</v>
      </c>
      <c r="K597" s="3">
        <v>0</v>
      </c>
      <c r="L597" s="3">
        <v>0</v>
      </c>
      <c r="M597" s="3">
        <v>23</v>
      </c>
      <c r="N597" s="3" t="s">
        <v>119</v>
      </c>
      <c r="O597" s="3" t="s">
        <v>27</v>
      </c>
      <c r="P597" s="3" t="s">
        <v>37</v>
      </c>
      <c r="Q597" s="3">
        <v>3</v>
      </c>
      <c r="R597" s="3">
        <v>54617</v>
      </c>
      <c r="S597" s="3">
        <v>773</v>
      </c>
      <c r="T597" s="3" t="s">
        <v>29</v>
      </c>
      <c r="U597" s="3">
        <v>3</v>
      </c>
      <c r="V597" s="3">
        <v>1475</v>
      </c>
      <c r="W597" s="5" t="str">
        <f t="shared" si="36"/>
        <v>750+</v>
      </c>
      <c r="X597" s="5" t="str">
        <f t="shared" si="37"/>
        <v>High (51-75%)</v>
      </c>
      <c r="Y597" s="5" t="str">
        <f t="shared" si="38"/>
        <v>Employed</v>
      </c>
      <c r="Z597" s="3" t="str">
        <f t="shared" si="39"/>
        <v>Debt &amp; Assets</v>
      </c>
    </row>
    <row r="598" spans="1:26" ht="17.399999999999999" x14ac:dyDescent="0.35">
      <c r="A598" s="3" t="s">
        <v>1172</v>
      </c>
      <c r="B598" s="3" t="s">
        <v>1171</v>
      </c>
      <c r="C598" s="4">
        <v>45694</v>
      </c>
      <c r="D598" s="3" t="s">
        <v>77</v>
      </c>
      <c r="E598" s="3">
        <v>29100</v>
      </c>
      <c r="F598" s="3">
        <v>36</v>
      </c>
      <c r="G598" s="3">
        <v>7.38</v>
      </c>
      <c r="H598" s="3">
        <v>903.59</v>
      </c>
      <c r="I598" s="3">
        <v>52.3</v>
      </c>
      <c r="J598" s="3" t="s">
        <v>32</v>
      </c>
      <c r="K598" s="3">
        <v>31</v>
      </c>
      <c r="L598" s="3">
        <v>1</v>
      </c>
      <c r="M598" s="3">
        <v>23</v>
      </c>
      <c r="N598" s="3" t="s">
        <v>119</v>
      </c>
      <c r="O598" s="3" t="s">
        <v>27</v>
      </c>
      <c r="P598" s="3" t="s">
        <v>37</v>
      </c>
      <c r="Q598" s="3">
        <v>3</v>
      </c>
      <c r="R598" s="3">
        <v>54617</v>
      </c>
      <c r="S598" s="3">
        <v>773</v>
      </c>
      <c r="T598" s="3" t="s">
        <v>29</v>
      </c>
      <c r="U598" s="3">
        <v>3</v>
      </c>
      <c r="V598" s="3">
        <v>1475</v>
      </c>
      <c r="W598" s="5" t="str">
        <f t="shared" si="36"/>
        <v>750+</v>
      </c>
      <c r="X598" s="5" t="str">
        <f t="shared" si="37"/>
        <v>High (51-75%)</v>
      </c>
      <c r="Y598" s="5" t="str">
        <f t="shared" si="38"/>
        <v>Employed</v>
      </c>
      <c r="Z598" s="3" t="str">
        <f t="shared" si="39"/>
        <v>Consumer &amp; Personal</v>
      </c>
    </row>
    <row r="599" spans="1:26" ht="17.399999999999999" x14ac:dyDescent="0.35">
      <c r="A599" s="3" t="s">
        <v>1173</v>
      </c>
      <c r="B599" s="3" t="s">
        <v>1174</v>
      </c>
      <c r="C599" s="4">
        <v>45401</v>
      </c>
      <c r="D599" s="3" t="s">
        <v>35</v>
      </c>
      <c r="E599" s="3">
        <v>4600</v>
      </c>
      <c r="F599" s="3">
        <v>12</v>
      </c>
      <c r="G599" s="3">
        <v>7.27</v>
      </c>
      <c r="H599" s="3">
        <v>398.6</v>
      </c>
      <c r="I599" s="3">
        <v>32.4</v>
      </c>
      <c r="J599" s="3" t="s">
        <v>48</v>
      </c>
      <c r="K599" s="3">
        <v>0</v>
      </c>
      <c r="L599" s="3">
        <v>0</v>
      </c>
      <c r="M599" s="3">
        <v>30</v>
      </c>
      <c r="N599" s="3" t="s">
        <v>36</v>
      </c>
      <c r="O599" s="3" t="s">
        <v>58</v>
      </c>
      <c r="P599" s="3" t="s">
        <v>28</v>
      </c>
      <c r="Q599" s="3">
        <v>7</v>
      </c>
      <c r="R599" s="3">
        <v>85000</v>
      </c>
      <c r="S599" s="3">
        <v>845</v>
      </c>
      <c r="T599" s="3" t="s">
        <v>45</v>
      </c>
      <c r="U599" s="3">
        <v>3</v>
      </c>
      <c r="V599" s="3">
        <v>1894</v>
      </c>
      <c r="W599" s="5" t="str">
        <f t="shared" si="36"/>
        <v>750+</v>
      </c>
      <c r="X599" s="5" t="str">
        <f t="shared" si="37"/>
        <v>Low (&lt;=35%)</v>
      </c>
      <c r="Y599" s="5" t="str">
        <f t="shared" si="38"/>
        <v>Self-Employed</v>
      </c>
      <c r="Z599" s="3" t="str">
        <f t="shared" si="39"/>
        <v>Consumer &amp; Personal</v>
      </c>
    </row>
    <row r="600" spans="1:26" ht="17.399999999999999" x14ac:dyDescent="0.35">
      <c r="A600" s="3" t="s">
        <v>1175</v>
      </c>
      <c r="B600" s="3" t="s">
        <v>1176</v>
      </c>
      <c r="C600" s="4">
        <v>45346</v>
      </c>
      <c r="D600" s="3" t="s">
        <v>52</v>
      </c>
      <c r="E600" s="3">
        <v>7800</v>
      </c>
      <c r="F600" s="3">
        <v>60</v>
      </c>
      <c r="G600" s="3">
        <v>9.86</v>
      </c>
      <c r="H600" s="3">
        <v>165.19</v>
      </c>
      <c r="I600" s="3">
        <v>28.8</v>
      </c>
      <c r="J600" s="3" t="s">
        <v>48</v>
      </c>
      <c r="K600" s="3">
        <v>0</v>
      </c>
      <c r="L600" s="3">
        <v>0</v>
      </c>
      <c r="M600" s="3">
        <v>62</v>
      </c>
      <c r="N600" s="3" t="s">
        <v>105</v>
      </c>
      <c r="O600" s="3" t="s">
        <v>43</v>
      </c>
      <c r="P600" s="3" t="s">
        <v>37</v>
      </c>
      <c r="Q600" s="3">
        <v>14</v>
      </c>
      <c r="R600" s="3">
        <v>62749</v>
      </c>
      <c r="S600" s="3">
        <v>811</v>
      </c>
      <c r="T600" s="3" t="s">
        <v>29</v>
      </c>
      <c r="U600" s="3">
        <v>1</v>
      </c>
      <c r="V600" s="3">
        <v>1339</v>
      </c>
      <c r="W600" s="5" t="str">
        <f t="shared" si="36"/>
        <v>750+</v>
      </c>
      <c r="X600" s="5" t="str">
        <f t="shared" si="37"/>
        <v>Low (&lt;=35%)</v>
      </c>
      <c r="Y600" s="5" t="str">
        <f t="shared" si="38"/>
        <v>Employed</v>
      </c>
      <c r="Z600" s="3" t="str">
        <f t="shared" si="39"/>
        <v>Investment &amp; Growth</v>
      </c>
    </row>
    <row r="601" spans="1:26" ht="17.399999999999999" x14ac:dyDescent="0.35">
      <c r="A601" s="3" t="s">
        <v>1177</v>
      </c>
      <c r="B601" s="3" t="s">
        <v>1178</v>
      </c>
      <c r="C601" s="4">
        <v>45610</v>
      </c>
      <c r="D601" s="3" t="s">
        <v>56</v>
      </c>
      <c r="E601" s="3">
        <v>26400</v>
      </c>
      <c r="F601" s="3">
        <v>24</v>
      </c>
      <c r="G601" s="3">
        <v>11.44</v>
      </c>
      <c r="H601" s="3">
        <v>1235.8499999999999</v>
      </c>
      <c r="I601" s="3">
        <v>73.2</v>
      </c>
      <c r="J601" s="3" t="s">
        <v>99</v>
      </c>
      <c r="K601" s="3">
        <v>15</v>
      </c>
      <c r="L601" s="3">
        <v>0</v>
      </c>
      <c r="M601" s="3">
        <v>31</v>
      </c>
      <c r="N601" s="3" t="s">
        <v>119</v>
      </c>
      <c r="O601" s="3" t="s">
        <v>79</v>
      </c>
      <c r="P601" s="3" t="s">
        <v>37</v>
      </c>
      <c r="Q601" s="3">
        <v>5</v>
      </c>
      <c r="R601" s="3">
        <v>67070</v>
      </c>
      <c r="S601" s="3">
        <v>604</v>
      </c>
      <c r="T601" s="3" t="s">
        <v>45</v>
      </c>
      <c r="U601" s="3">
        <v>0</v>
      </c>
      <c r="V601" s="3">
        <v>2856</v>
      </c>
      <c r="W601" s="5" t="str">
        <f t="shared" si="36"/>
        <v>600-649</v>
      </c>
      <c r="X601" s="5" t="str">
        <f t="shared" si="37"/>
        <v>High (51-75%)</v>
      </c>
      <c r="Y601" s="5" t="str">
        <f t="shared" si="38"/>
        <v>Employed</v>
      </c>
      <c r="Z601" s="3" t="str">
        <f t="shared" si="39"/>
        <v>Consumer &amp; Personal</v>
      </c>
    </row>
    <row r="602" spans="1:26" ht="17.399999999999999" x14ac:dyDescent="0.35">
      <c r="A602" s="3" t="s">
        <v>1179</v>
      </c>
      <c r="B602" s="3" t="s">
        <v>1178</v>
      </c>
      <c r="C602" s="4">
        <v>45415</v>
      </c>
      <c r="D602" s="3" t="s">
        <v>77</v>
      </c>
      <c r="E602" s="3">
        <v>7500</v>
      </c>
      <c r="F602" s="3">
        <v>12</v>
      </c>
      <c r="G602" s="3">
        <v>10.7</v>
      </c>
      <c r="H602" s="3">
        <v>661.81</v>
      </c>
      <c r="I602" s="3">
        <v>62.9</v>
      </c>
      <c r="J602" s="3" t="s">
        <v>48</v>
      </c>
      <c r="K602" s="3">
        <v>0</v>
      </c>
      <c r="L602" s="3">
        <v>0</v>
      </c>
      <c r="M602" s="3">
        <v>31</v>
      </c>
      <c r="N602" s="3" t="s">
        <v>119</v>
      </c>
      <c r="O602" s="3" t="s">
        <v>79</v>
      </c>
      <c r="P602" s="3" t="s">
        <v>37</v>
      </c>
      <c r="Q602" s="3">
        <v>5</v>
      </c>
      <c r="R602" s="3">
        <v>67070</v>
      </c>
      <c r="S602" s="3">
        <v>604</v>
      </c>
      <c r="T602" s="3" t="s">
        <v>45</v>
      </c>
      <c r="U602" s="3">
        <v>0</v>
      </c>
      <c r="V602" s="3">
        <v>2856</v>
      </c>
      <c r="W602" s="5" t="str">
        <f t="shared" si="36"/>
        <v>600-649</v>
      </c>
      <c r="X602" s="5" t="str">
        <f t="shared" si="37"/>
        <v>High (51-75%)</v>
      </c>
      <c r="Y602" s="5" t="str">
        <f t="shared" si="38"/>
        <v>Employed</v>
      </c>
      <c r="Z602" s="3" t="str">
        <f t="shared" si="39"/>
        <v>Consumer &amp; Personal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39"/>
  <sheetViews>
    <sheetView topLeftCell="A10" workbookViewId="0">
      <selection activeCell="C38" sqref="C38"/>
    </sheetView>
  </sheetViews>
  <sheetFormatPr defaultRowHeight="14.4" x14ac:dyDescent="0.3"/>
  <cols>
    <col min="1" max="1" width="18.88671875" bestFit="1" customWidth="1"/>
    <col min="2" max="2" width="15.6640625" customWidth="1"/>
    <col min="3" max="3" width="15.109375" customWidth="1"/>
    <col min="4" max="4" width="15.6640625" customWidth="1"/>
    <col min="5" max="5" width="15.109375" customWidth="1"/>
    <col min="6" max="6" width="20.44140625" customWidth="1"/>
    <col min="7" max="7" width="19.88671875" bestFit="1" customWidth="1"/>
    <col min="8" max="8" width="38.5546875" bestFit="1" customWidth="1"/>
    <col min="9" max="9" width="18.88671875" bestFit="1" customWidth="1"/>
  </cols>
  <sheetData>
    <row r="3" spans="1:10" x14ac:dyDescent="0.3">
      <c r="B3" s="7" t="s">
        <v>1185</v>
      </c>
    </row>
    <row r="4" spans="1:10" x14ac:dyDescent="0.3">
      <c r="B4">
        <v>0</v>
      </c>
      <c r="D4">
        <v>1</v>
      </c>
      <c r="F4" t="s">
        <v>1187</v>
      </c>
      <c r="G4" t="s">
        <v>1188</v>
      </c>
      <c r="H4" s="11" t="s">
        <v>1190</v>
      </c>
    </row>
    <row r="5" spans="1:10" x14ac:dyDescent="0.3">
      <c r="A5" s="7" t="s">
        <v>1183</v>
      </c>
      <c r="B5" t="s">
        <v>1186</v>
      </c>
      <c r="C5" t="s">
        <v>1189</v>
      </c>
      <c r="D5" t="s">
        <v>1186</v>
      </c>
      <c r="E5" t="s">
        <v>1189</v>
      </c>
      <c r="H5" s="11"/>
    </row>
    <row r="6" spans="1:10" x14ac:dyDescent="0.3">
      <c r="A6" s="8" t="s">
        <v>1205</v>
      </c>
      <c r="B6" s="1">
        <v>0</v>
      </c>
      <c r="C6" s="1">
        <v>59</v>
      </c>
      <c r="D6" s="1">
        <v>57</v>
      </c>
      <c r="E6" s="1">
        <v>57</v>
      </c>
      <c r="F6" s="1">
        <v>57</v>
      </c>
      <c r="G6" s="1">
        <v>116</v>
      </c>
      <c r="H6" s="10">
        <f t="shared" ref="H6:H11" si="0">(F6/G6)*100</f>
        <v>49.137931034482754</v>
      </c>
      <c r="I6" s="18" t="str">
        <f>A6</f>
        <v>520-599</v>
      </c>
      <c r="J6" s="19">
        <f>H6</f>
        <v>49.137931034482754</v>
      </c>
    </row>
    <row r="7" spans="1:10" x14ac:dyDescent="0.3">
      <c r="A7" s="8" t="s">
        <v>1206</v>
      </c>
      <c r="B7" s="1">
        <v>0</v>
      </c>
      <c r="C7" s="1">
        <v>66</v>
      </c>
      <c r="D7" s="1">
        <v>27</v>
      </c>
      <c r="E7" s="1">
        <v>27</v>
      </c>
      <c r="F7" s="1">
        <v>27</v>
      </c>
      <c r="G7" s="1">
        <v>93</v>
      </c>
      <c r="H7" s="10">
        <f t="shared" si="0"/>
        <v>29.032258064516132</v>
      </c>
      <c r="I7" s="18" t="str">
        <f>A7</f>
        <v>600-649</v>
      </c>
      <c r="J7" s="19">
        <f>H7</f>
        <v>29.032258064516132</v>
      </c>
    </row>
    <row r="8" spans="1:10" x14ac:dyDescent="0.3">
      <c r="A8" s="8" t="s">
        <v>1207</v>
      </c>
      <c r="B8" s="1">
        <v>0</v>
      </c>
      <c r="C8" s="1">
        <v>72</v>
      </c>
      <c r="D8" s="1">
        <v>14</v>
      </c>
      <c r="E8" s="1">
        <v>14</v>
      </c>
      <c r="F8" s="1">
        <v>14</v>
      </c>
      <c r="G8" s="1">
        <v>86</v>
      </c>
      <c r="H8" s="10">
        <f t="shared" si="0"/>
        <v>16.279069767441861</v>
      </c>
      <c r="I8" s="18" t="str">
        <f>A8</f>
        <v>700-749</v>
      </c>
      <c r="J8" s="19">
        <f>H8</f>
        <v>16.279069767441861</v>
      </c>
    </row>
    <row r="9" spans="1:10" x14ac:dyDescent="0.3">
      <c r="A9" s="8" t="s">
        <v>1208</v>
      </c>
      <c r="B9" s="1">
        <v>0</v>
      </c>
      <c r="C9" s="1">
        <v>204</v>
      </c>
      <c r="D9" s="1">
        <v>27</v>
      </c>
      <c r="E9" s="1">
        <v>27</v>
      </c>
      <c r="F9" s="1">
        <v>27</v>
      </c>
      <c r="G9" s="1">
        <v>231</v>
      </c>
      <c r="H9" s="10">
        <f t="shared" si="0"/>
        <v>11.688311688311687</v>
      </c>
      <c r="I9" s="18" t="str">
        <f>A9</f>
        <v>750+</v>
      </c>
      <c r="J9" s="19">
        <f>H9</f>
        <v>11.688311688311687</v>
      </c>
    </row>
    <row r="10" spans="1:10" x14ac:dyDescent="0.3">
      <c r="A10" s="8" t="s">
        <v>1209</v>
      </c>
      <c r="B10" s="1">
        <v>0</v>
      </c>
      <c r="C10" s="1">
        <v>54</v>
      </c>
      <c r="D10" s="1">
        <v>21</v>
      </c>
      <c r="E10" s="1">
        <v>21</v>
      </c>
      <c r="F10" s="1">
        <v>21</v>
      </c>
      <c r="G10" s="1">
        <v>75</v>
      </c>
      <c r="H10" s="10">
        <f t="shared" si="0"/>
        <v>28.000000000000004</v>
      </c>
      <c r="I10" s="18" t="str">
        <f>A10</f>
        <v>650-699</v>
      </c>
      <c r="J10" s="19">
        <f>H10</f>
        <v>28.000000000000004</v>
      </c>
    </row>
    <row r="11" spans="1:10" x14ac:dyDescent="0.3">
      <c r="A11" s="8" t="s">
        <v>1184</v>
      </c>
      <c r="B11" s="1">
        <v>0</v>
      </c>
      <c r="C11" s="1">
        <v>455</v>
      </c>
      <c r="D11" s="1">
        <v>146</v>
      </c>
      <c r="E11" s="1">
        <v>146</v>
      </c>
      <c r="F11" s="1">
        <v>146</v>
      </c>
      <c r="G11" s="1">
        <v>601</v>
      </c>
      <c r="H11" s="10">
        <f t="shared" si="0"/>
        <v>24.292845257903494</v>
      </c>
    </row>
    <row r="26" spans="1:10" x14ac:dyDescent="0.3">
      <c r="B26" s="7" t="s">
        <v>1185</v>
      </c>
    </row>
    <row r="27" spans="1:10" x14ac:dyDescent="0.3">
      <c r="B27">
        <v>0</v>
      </c>
      <c r="D27">
        <v>1</v>
      </c>
      <c r="F27" t="s">
        <v>1187</v>
      </c>
      <c r="G27" t="s">
        <v>1188</v>
      </c>
    </row>
    <row r="28" spans="1:10" x14ac:dyDescent="0.3">
      <c r="A28" s="7" t="s">
        <v>1183</v>
      </c>
      <c r="B28" t="s">
        <v>1186</v>
      </c>
      <c r="C28" t="s">
        <v>1189</v>
      </c>
      <c r="D28" t="s">
        <v>1186</v>
      </c>
      <c r="E28" t="s">
        <v>1189</v>
      </c>
      <c r="H28" s="13" t="s">
        <v>1195</v>
      </c>
    </row>
    <row r="29" spans="1:10" x14ac:dyDescent="0.3">
      <c r="A29" s="8" t="s">
        <v>1191</v>
      </c>
      <c r="B29" s="1">
        <v>0</v>
      </c>
      <c r="C29" s="1">
        <v>47</v>
      </c>
      <c r="D29" s="1">
        <v>20</v>
      </c>
      <c r="E29" s="1">
        <v>20</v>
      </c>
      <c r="F29" s="1">
        <v>20</v>
      </c>
      <c r="G29" s="1">
        <v>67</v>
      </c>
      <c r="H29" s="14">
        <f>(F29/G29)*100</f>
        <v>29.850746268656714</v>
      </c>
      <c r="I29" t="str">
        <f>A29</f>
        <v>Critical (&gt;75%)</v>
      </c>
      <c r="J29" s="9">
        <f>H29</f>
        <v>29.850746268656714</v>
      </c>
    </row>
    <row r="30" spans="1:10" x14ac:dyDescent="0.3">
      <c r="A30" s="8" t="s">
        <v>1192</v>
      </c>
      <c r="B30" s="1">
        <v>0</v>
      </c>
      <c r="C30" s="1">
        <v>130</v>
      </c>
      <c r="D30" s="1">
        <v>73</v>
      </c>
      <c r="E30" s="1">
        <v>73</v>
      </c>
      <c r="F30" s="1">
        <v>73</v>
      </c>
      <c r="G30" s="1">
        <v>203</v>
      </c>
      <c r="H30" s="14">
        <f>(F30/G30)*100</f>
        <v>35.960591133004925</v>
      </c>
      <c r="I30" t="str">
        <f>A30</f>
        <v>High (51-75%)</v>
      </c>
      <c r="J30" s="9">
        <f>H30</f>
        <v>35.960591133004925</v>
      </c>
    </row>
    <row r="31" spans="1:10" x14ac:dyDescent="0.3">
      <c r="A31" s="8" t="s">
        <v>1193</v>
      </c>
      <c r="B31" s="1">
        <v>0</v>
      </c>
      <c r="C31" s="1">
        <v>159</v>
      </c>
      <c r="D31" s="1">
        <v>22</v>
      </c>
      <c r="E31" s="1">
        <v>22</v>
      </c>
      <c r="F31" s="1">
        <v>22</v>
      </c>
      <c r="G31" s="1">
        <v>181</v>
      </c>
      <c r="H31" s="14">
        <f>(F31/G31)*100</f>
        <v>12.154696132596685</v>
      </c>
      <c r="I31" t="str">
        <f>A31</f>
        <v>Low (&lt;=35%)</v>
      </c>
      <c r="J31" s="9">
        <f>H31</f>
        <v>12.154696132596685</v>
      </c>
    </row>
    <row r="32" spans="1:10" x14ac:dyDescent="0.3">
      <c r="A32" s="8" t="s">
        <v>1194</v>
      </c>
      <c r="B32" s="1">
        <v>0</v>
      </c>
      <c r="C32" s="1">
        <v>119</v>
      </c>
      <c r="D32" s="1">
        <v>31</v>
      </c>
      <c r="E32" s="1">
        <v>31</v>
      </c>
      <c r="F32" s="1">
        <v>31</v>
      </c>
      <c r="G32" s="1">
        <v>150</v>
      </c>
      <c r="H32" s="14">
        <f>(F32/G32)*100</f>
        <v>20.666666666666668</v>
      </c>
      <c r="I32" t="str">
        <f>A32</f>
        <v>Manageable (36-50%)</v>
      </c>
      <c r="J32" s="9">
        <f>H32</f>
        <v>20.666666666666668</v>
      </c>
    </row>
    <row r="33" spans="1:8" x14ac:dyDescent="0.3">
      <c r="A33" s="8" t="s">
        <v>1184</v>
      </c>
      <c r="B33" s="1">
        <v>0</v>
      </c>
      <c r="C33" s="1">
        <v>455</v>
      </c>
      <c r="D33" s="1">
        <v>146</v>
      </c>
      <c r="E33" s="1">
        <v>146</v>
      </c>
      <c r="F33" s="1">
        <v>146</v>
      </c>
      <c r="G33" s="1">
        <v>601</v>
      </c>
    </row>
    <row r="44" spans="1:8" x14ac:dyDescent="0.3">
      <c r="B44" s="7" t="s">
        <v>1185</v>
      </c>
    </row>
    <row r="45" spans="1:8" x14ac:dyDescent="0.3">
      <c r="B45">
        <v>0</v>
      </c>
      <c r="D45">
        <v>1</v>
      </c>
      <c r="F45" t="s">
        <v>1187</v>
      </c>
      <c r="G45" t="s">
        <v>1188</v>
      </c>
    </row>
    <row r="46" spans="1:8" x14ac:dyDescent="0.3">
      <c r="A46" s="7" t="s">
        <v>1183</v>
      </c>
      <c r="B46" t="s">
        <v>1186</v>
      </c>
      <c r="C46" t="s">
        <v>1189</v>
      </c>
      <c r="D46" t="s">
        <v>1186</v>
      </c>
      <c r="E46" t="s">
        <v>1189</v>
      </c>
      <c r="H46" s="15" t="s">
        <v>1198</v>
      </c>
    </row>
    <row r="47" spans="1:8" x14ac:dyDescent="0.3">
      <c r="A47" s="8" t="s">
        <v>1197</v>
      </c>
      <c r="B47" s="1">
        <v>0</v>
      </c>
      <c r="C47" s="1">
        <v>330</v>
      </c>
      <c r="D47" s="1">
        <v>106</v>
      </c>
      <c r="E47" s="1">
        <v>106</v>
      </c>
      <c r="F47" s="1">
        <v>106</v>
      </c>
      <c r="G47" s="1">
        <v>436</v>
      </c>
      <c r="H47" s="16">
        <f>(F47/G47)*100</f>
        <v>24.311926605504588</v>
      </c>
    </row>
    <row r="48" spans="1:8" x14ac:dyDescent="0.3">
      <c r="A48" s="8" t="s">
        <v>85</v>
      </c>
      <c r="B48" s="1">
        <v>0</v>
      </c>
      <c r="C48" s="1">
        <v>46</v>
      </c>
      <c r="D48" s="1">
        <v>14</v>
      </c>
      <c r="E48" s="1">
        <v>14</v>
      </c>
      <c r="F48" s="1">
        <v>14</v>
      </c>
      <c r="G48" s="1">
        <v>60</v>
      </c>
      <c r="H48" s="16">
        <f>(F48/G48)*100</f>
        <v>23.333333333333332</v>
      </c>
    </row>
    <row r="49" spans="1:8" x14ac:dyDescent="0.3">
      <c r="A49" s="8" t="s">
        <v>28</v>
      </c>
      <c r="B49" s="1">
        <v>0</v>
      </c>
      <c r="C49" s="1">
        <v>79</v>
      </c>
      <c r="D49" s="1">
        <v>26</v>
      </c>
      <c r="E49" s="1">
        <v>26</v>
      </c>
      <c r="F49" s="1">
        <v>26</v>
      </c>
      <c r="G49" s="1">
        <v>105</v>
      </c>
      <c r="H49" s="16">
        <f>(F49/G49)*100</f>
        <v>24.761904761904763</v>
      </c>
    </row>
    <row r="50" spans="1:8" x14ac:dyDescent="0.3">
      <c r="A50" s="8" t="s">
        <v>1184</v>
      </c>
      <c r="B50" s="1">
        <v>0</v>
      </c>
      <c r="C50" s="1">
        <v>455</v>
      </c>
      <c r="D50" s="1">
        <v>146</v>
      </c>
      <c r="E50" s="1">
        <v>146</v>
      </c>
      <c r="F50" s="1">
        <v>146</v>
      </c>
      <c r="G50" s="1">
        <v>601</v>
      </c>
    </row>
    <row r="65" spans="1:10" x14ac:dyDescent="0.3">
      <c r="B65" s="7" t="s">
        <v>1185</v>
      </c>
    </row>
    <row r="66" spans="1:10" x14ac:dyDescent="0.3">
      <c r="B66">
        <v>0</v>
      </c>
      <c r="D66">
        <v>1</v>
      </c>
      <c r="F66" t="s">
        <v>1187</v>
      </c>
      <c r="G66" t="s">
        <v>1188</v>
      </c>
    </row>
    <row r="67" spans="1:10" x14ac:dyDescent="0.3">
      <c r="A67" s="7" t="s">
        <v>1183</v>
      </c>
      <c r="B67" t="s">
        <v>1186</v>
      </c>
      <c r="C67" t="s">
        <v>1189</v>
      </c>
      <c r="D67" t="s">
        <v>1186</v>
      </c>
      <c r="E67" t="s">
        <v>1189</v>
      </c>
      <c r="H67" s="12" t="s">
        <v>1202</v>
      </c>
    </row>
    <row r="68" spans="1:10" x14ac:dyDescent="0.3">
      <c r="A68" s="8" t="s">
        <v>1199</v>
      </c>
      <c r="B68" s="1">
        <v>0</v>
      </c>
      <c r="C68" s="1">
        <v>184</v>
      </c>
      <c r="D68" s="1">
        <v>58</v>
      </c>
      <c r="E68" s="1">
        <v>58</v>
      </c>
      <c r="F68" s="1">
        <v>58</v>
      </c>
      <c r="G68" s="1">
        <v>242</v>
      </c>
      <c r="H68" s="17">
        <f>(F68/G68)*100</f>
        <v>23.966942148760332</v>
      </c>
      <c r="I68" s="18" t="str">
        <f>A68</f>
        <v>Consumer &amp; Personal</v>
      </c>
      <c r="J68" s="19">
        <f>H68</f>
        <v>23.966942148760332</v>
      </c>
    </row>
    <row r="69" spans="1:10" x14ac:dyDescent="0.3">
      <c r="A69" s="8" t="s">
        <v>1200</v>
      </c>
      <c r="B69" s="1">
        <v>0</v>
      </c>
      <c r="C69" s="1">
        <v>136</v>
      </c>
      <c r="D69" s="1">
        <v>42</v>
      </c>
      <c r="E69" s="1">
        <v>42</v>
      </c>
      <c r="F69" s="1">
        <v>42</v>
      </c>
      <c r="G69" s="1">
        <v>178</v>
      </c>
      <c r="H69" s="17">
        <f>(F69/G69)*100</f>
        <v>23.595505617977526</v>
      </c>
      <c r="I69" s="18" t="str">
        <f>A69</f>
        <v>Debt &amp; Assets</v>
      </c>
      <c r="J69" s="19">
        <f>H69</f>
        <v>23.595505617977526</v>
      </c>
    </row>
    <row r="70" spans="1:10" x14ac:dyDescent="0.3">
      <c r="A70" s="8" t="s">
        <v>1201</v>
      </c>
      <c r="B70" s="1">
        <v>0</v>
      </c>
      <c r="C70" s="1">
        <v>135</v>
      </c>
      <c r="D70" s="1">
        <v>46</v>
      </c>
      <c r="E70" s="1">
        <v>46</v>
      </c>
      <c r="F70" s="1">
        <v>46</v>
      </c>
      <c r="G70" s="1">
        <v>181</v>
      </c>
      <c r="H70" s="17">
        <f>(F70/G70)*100</f>
        <v>25.414364640883981</v>
      </c>
      <c r="I70" s="18" t="str">
        <f>A70</f>
        <v>Investment &amp; Growth</v>
      </c>
      <c r="J70" s="19">
        <f>H70</f>
        <v>25.414364640883981</v>
      </c>
    </row>
    <row r="71" spans="1:10" x14ac:dyDescent="0.3">
      <c r="A71" s="8" t="s">
        <v>1184</v>
      </c>
      <c r="B71" s="1">
        <v>0</v>
      </c>
      <c r="C71" s="1">
        <v>455</v>
      </c>
      <c r="D71" s="1">
        <v>146</v>
      </c>
      <c r="E71" s="1">
        <v>146</v>
      </c>
      <c r="F71" s="1">
        <v>146</v>
      </c>
      <c r="G71" s="1">
        <v>601</v>
      </c>
    </row>
    <row r="88" spans="1:4" x14ac:dyDescent="0.3">
      <c r="A88" s="7" t="s">
        <v>1183</v>
      </c>
      <c r="B88" t="s">
        <v>1210</v>
      </c>
    </row>
    <row r="89" spans="1:4" x14ac:dyDescent="0.3">
      <c r="A89" s="8">
        <v>0</v>
      </c>
      <c r="B89" s="9">
        <v>22012.747252747253</v>
      </c>
      <c r="C89" s="19">
        <f>B89</f>
        <v>22012.747252747253</v>
      </c>
      <c r="D89" s="18"/>
    </row>
    <row r="90" spans="1:4" x14ac:dyDescent="0.3">
      <c r="A90" s="8">
        <v>1</v>
      </c>
      <c r="B90" s="9">
        <v>22570.547945205479</v>
      </c>
      <c r="C90" s="19">
        <f>B90</f>
        <v>22570.547945205479</v>
      </c>
      <c r="D90" s="19">
        <f>C90-C89</f>
        <v>557.80069245822597</v>
      </c>
    </row>
    <row r="91" spans="1:4" x14ac:dyDescent="0.3">
      <c r="A91" s="8" t="s">
        <v>1184</v>
      </c>
      <c r="B91" s="1">
        <v>22148.252911813644</v>
      </c>
    </row>
    <row r="102" spans="1:4" x14ac:dyDescent="0.3">
      <c r="A102" s="7" t="s">
        <v>1183</v>
      </c>
      <c r="B102" t="s">
        <v>1186</v>
      </c>
    </row>
    <row r="103" spans="1:4" x14ac:dyDescent="0.3">
      <c r="A103" s="8">
        <v>0</v>
      </c>
      <c r="B103" s="1">
        <v>11</v>
      </c>
    </row>
    <row r="104" spans="1:4" x14ac:dyDescent="0.3">
      <c r="A104" s="8">
        <v>1</v>
      </c>
      <c r="B104" s="1">
        <v>18</v>
      </c>
    </row>
    <row r="105" spans="1:4" x14ac:dyDescent="0.3">
      <c r="A105" s="8">
        <v>2</v>
      </c>
      <c r="B105" s="1">
        <v>13</v>
      </c>
      <c r="C105" s="18">
        <f>SUM(B103:B105)</f>
        <v>42</v>
      </c>
      <c r="D105" s="19">
        <f>(C105/B139)*100</f>
        <v>28.767123287671232</v>
      </c>
    </row>
    <row r="106" spans="1:4" x14ac:dyDescent="0.3">
      <c r="A106" s="8">
        <v>3</v>
      </c>
      <c r="B106" s="1">
        <v>6</v>
      </c>
    </row>
    <row r="107" spans="1:4" x14ac:dyDescent="0.3">
      <c r="A107" s="8">
        <v>4</v>
      </c>
      <c r="B107" s="1">
        <v>1</v>
      </c>
    </row>
    <row r="108" spans="1:4" x14ac:dyDescent="0.3">
      <c r="A108" s="8">
        <v>5</v>
      </c>
      <c r="B108" s="1">
        <v>4</v>
      </c>
    </row>
    <row r="109" spans="1:4" x14ac:dyDescent="0.3">
      <c r="A109" s="8">
        <v>6</v>
      </c>
      <c r="B109" s="1">
        <v>15</v>
      </c>
    </row>
    <row r="110" spans="1:4" x14ac:dyDescent="0.3">
      <c r="A110" s="8">
        <v>7</v>
      </c>
      <c r="B110" s="1">
        <v>2</v>
      </c>
    </row>
    <row r="111" spans="1:4" x14ac:dyDescent="0.3">
      <c r="A111" s="8">
        <v>8</v>
      </c>
      <c r="B111" s="1">
        <v>5</v>
      </c>
    </row>
    <row r="112" spans="1:4" x14ac:dyDescent="0.3">
      <c r="A112" s="8">
        <v>9</v>
      </c>
      <c r="B112" s="1">
        <v>7</v>
      </c>
    </row>
    <row r="113" spans="1:2" x14ac:dyDescent="0.3">
      <c r="A113" s="8">
        <v>10</v>
      </c>
      <c r="B113" s="1">
        <v>4</v>
      </c>
    </row>
    <row r="114" spans="1:2" x14ac:dyDescent="0.3">
      <c r="A114" s="8">
        <v>11</v>
      </c>
      <c r="B114" s="1">
        <v>3</v>
      </c>
    </row>
    <row r="115" spans="1:2" x14ac:dyDescent="0.3">
      <c r="A115" s="8">
        <v>12</v>
      </c>
      <c r="B115" s="1">
        <v>1</v>
      </c>
    </row>
    <row r="116" spans="1:2" x14ac:dyDescent="0.3">
      <c r="A116" s="8">
        <v>13</v>
      </c>
      <c r="B116" s="1">
        <v>4</v>
      </c>
    </row>
    <row r="117" spans="1:2" x14ac:dyDescent="0.3">
      <c r="A117" s="8">
        <v>14</v>
      </c>
      <c r="B117" s="1">
        <v>6</v>
      </c>
    </row>
    <row r="118" spans="1:2" x14ac:dyDescent="0.3">
      <c r="A118" s="8">
        <v>15</v>
      </c>
      <c r="B118" s="1">
        <v>5</v>
      </c>
    </row>
    <row r="119" spans="1:2" x14ac:dyDescent="0.3">
      <c r="A119" s="8">
        <v>16</v>
      </c>
      <c r="B119" s="1">
        <v>2</v>
      </c>
    </row>
    <row r="120" spans="1:2" x14ac:dyDescent="0.3">
      <c r="A120" s="8">
        <v>17</v>
      </c>
      <c r="B120" s="1">
        <v>6</v>
      </c>
    </row>
    <row r="121" spans="1:2" x14ac:dyDescent="0.3">
      <c r="A121" s="8">
        <v>18</v>
      </c>
      <c r="B121" s="1">
        <v>3</v>
      </c>
    </row>
    <row r="122" spans="1:2" x14ac:dyDescent="0.3">
      <c r="A122" s="8">
        <v>19</v>
      </c>
      <c r="B122" s="1">
        <v>2</v>
      </c>
    </row>
    <row r="123" spans="1:2" x14ac:dyDescent="0.3">
      <c r="A123" s="8">
        <v>20</v>
      </c>
      <c r="B123" s="1">
        <v>2</v>
      </c>
    </row>
    <row r="124" spans="1:2" x14ac:dyDescent="0.3">
      <c r="A124" s="8">
        <v>21</v>
      </c>
      <c r="B124" s="1">
        <v>2</v>
      </c>
    </row>
    <row r="125" spans="1:2" x14ac:dyDescent="0.3">
      <c r="A125" s="8">
        <v>22</v>
      </c>
      <c r="B125" s="1">
        <v>3</v>
      </c>
    </row>
    <row r="126" spans="1:2" x14ac:dyDescent="0.3">
      <c r="A126" s="8">
        <v>23</v>
      </c>
      <c r="B126" s="1">
        <v>1</v>
      </c>
    </row>
    <row r="127" spans="1:2" x14ac:dyDescent="0.3">
      <c r="A127" s="8">
        <v>24</v>
      </c>
      <c r="B127" s="1">
        <v>2</v>
      </c>
    </row>
    <row r="128" spans="1:2" x14ac:dyDescent="0.3">
      <c r="A128" s="8">
        <v>25</v>
      </c>
      <c r="B128" s="1">
        <v>3</v>
      </c>
    </row>
    <row r="129" spans="1:2" x14ac:dyDescent="0.3">
      <c r="A129" s="8">
        <v>26</v>
      </c>
      <c r="B129" s="1">
        <v>0</v>
      </c>
    </row>
    <row r="130" spans="1:2" x14ac:dyDescent="0.3">
      <c r="A130" s="8">
        <v>27</v>
      </c>
      <c r="B130" s="1">
        <v>3</v>
      </c>
    </row>
    <row r="131" spans="1:2" x14ac:dyDescent="0.3">
      <c r="A131" s="8">
        <v>28</v>
      </c>
      <c r="B131" s="1">
        <v>0</v>
      </c>
    </row>
    <row r="132" spans="1:2" x14ac:dyDescent="0.3">
      <c r="A132" s="8">
        <v>29</v>
      </c>
      <c r="B132" s="1">
        <v>1</v>
      </c>
    </row>
    <row r="133" spans="1:2" x14ac:dyDescent="0.3">
      <c r="A133" s="8">
        <v>30</v>
      </c>
      <c r="B133" s="1">
        <v>2</v>
      </c>
    </row>
    <row r="134" spans="1:2" x14ac:dyDescent="0.3">
      <c r="A134" s="8">
        <v>31</v>
      </c>
      <c r="B134" s="1">
        <v>1</v>
      </c>
    </row>
    <row r="135" spans="1:2" x14ac:dyDescent="0.3">
      <c r="A135" s="8">
        <v>32</v>
      </c>
      <c r="B135" s="1">
        <v>2</v>
      </c>
    </row>
    <row r="136" spans="1:2" x14ac:dyDescent="0.3">
      <c r="A136" s="8">
        <v>33</v>
      </c>
      <c r="B136" s="1">
        <v>2</v>
      </c>
    </row>
    <row r="137" spans="1:2" x14ac:dyDescent="0.3">
      <c r="A137" s="8">
        <v>34</v>
      </c>
      <c r="B137" s="1">
        <v>3</v>
      </c>
    </row>
    <row r="138" spans="1:2" x14ac:dyDescent="0.3">
      <c r="A138" s="8">
        <v>35</v>
      </c>
      <c r="B138" s="1">
        <v>1</v>
      </c>
    </row>
    <row r="139" spans="1:2" x14ac:dyDescent="0.3">
      <c r="A139" s="8" t="s">
        <v>1184</v>
      </c>
      <c r="B139" s="1">
        <v>146</v>
      </c>
    </row>
  </sheetData>
  <conditionalFormatting sqref="H68:H70">
    <cfRule type="top10" dxfId="5" priority="4" rank="1"/>
  </conditionalFormatting>
  <conditionalFormatting sqref="H47:H49">
    <cfRule type="top10" dxfId="4" priority="3" rank="1"/>
  </conditionalFormatting>
  <conditionalFormatting sqref="H29:H32">
    <cfRule type="top10" dxfId="3" priority="2" rank="1"/>
  </conditionalFormatting>
  <conditionalFormatting sqref="H6:H10">
    <cfRule type="top10" dxfId="2" priority="1" rank="1"/>
  </conditionalFormatting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showGridLines="0" tabSelected="1" zoomScaleNormal="100" workbookViewId="0">
      <selection activeCell="Q23" sqref="Q23"/>
    </sheetView>
  </sheetViews>
  <sheetFormatPr defaultRowHeight="14.4" x14ac:dyDescent="0.3"/>
  <cols>
    <col min="12" max="12" width="25.109375" customWidth="1"/>
  </cols>
  <sheetData>
    <row r="1" spans="1:12" x14ac:dyDescent="0.3">
      <c r="A1" s="20" t="s">
        <v>1203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25" spans="9:9" x14ac:dyDescent="0.3">
      <c r="I25" t="s">
        <v>1204</v>
      </c>
    </row>
  </sheetData>
  <mergeCells count="1">
    <mergeCell ref="A1:L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A4ADB4-0462-4DB8-9DF0-4CE2E1E40F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Segment Analysis</vt:lpstr>
      <vt:lpstr>Data 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2026-10-11T13:09:32Z</dcterms:modified>
</cp:coreProperties>
</file>